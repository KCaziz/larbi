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k\Downloads\"/>
    </mc:Choice>
  </mc:AlternateContent>
  <bookViews>
    <workbookView xWindow="0" yWindow="0" windowWidth="23016" windowHeight="10488" firstSheet="11" activeTab="15"/>
  </bookViews>
  <sheets>
    <sheet name="01_Referentiel_Unique" sheetId="1" r:id="rId1"/>
    <sheet name="02_CCP_Comptes" sheetId="2" r:id="rId2"/>
    <sheet name="03_EDAHABIA" sheetId="3" r:id="rId3"/>
    <sheet name="04_TPE_Commercants" sheetId="4" r:id="rId4"/>
    <sheet name="05_Reseau_Postal" sheetId="5" r:id="rId5"/>
    <sheet name="06_BaridiMob_ECCP" sheetId="6" r:id="rId6"/>
    <sheet name="07_Identifiants_WU" sheetId="7" r:id="rId7"/>
    <sheet name="08_Plafonds_Delais" sheetId="8" r:id="rId8"/>
    <sheet name="09_Bareme_PINPAD" sheetId="9" r:id="rId9"/>
    <sheet name="10_Matrice_FINCLUDIA" sheetId="10" r:id="rId10"/>
    <sheet name="11_Controle_Validation" sheetId="11" r:id="rId11"/>
    <sheet name="12_Import_FINCLUDIA" sheetId="12" r:id="rId12"/>
    <sheet name="13_Couts_Annualises" sheetId="13" r:id="rId13"/>
    <sheet name="14_Dictionnaire_API" sheetId="14" r:id="rId14"/>
    <sheet name="15_Sources_Provenance" sheetId="15" r:id="rId15"/>
    <sheet name="00_Tableau_de_bord" sheetId="16" r:id="rId16"/>
  </sheets>
  <calcPr calcId="162913"/>
</workbook>
</file>

<file path=xl/calcChain.xml><?xml version="1.0" encoding="utf-8"?>
<calcChain xmlns="http://schemas.openxmlformats.org/spreadsheetml/2006/main">
  <c r="B20" i="16" l="1"/>
  <c r="B19" i="16"/>
  <c r="B18" i="16"/>
  <c r="B17" i="16"/>
  <c r="B16" i="16"/>
  <c r="B15" i="16"/>
  <c r="B14" i="16"/>
  <c r="B9" i="16"/>
  <c r="B8" i="16"/>
  <c r="B7" i="16"/>
  <c r="B6" i="16"/>
  <c r="B5" i="16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</calcChain>
</file>

<file path=xl/sharedStrings.xml><?xml version="1.0" encoding="utf-8"?>
<sst xmlns="http://schemas.openxmlformats.org/spreadsheetml/2006/main" count="3745" uniqueCount="933">
  <si>
    <t>RÉFÉRENTIEL ALGÉRIE POSTE — SERVICES ET CONDITIONS</t>
  </si>
  <si>
    <t>75 lignes uniques, regroupées sans double comptage. La source est le texte transmis ; aucune date d'effet ou validation officielle n'a été fournie. Les montants 'non spécifiés' restent non chiffrés.</t>
  </si>
  <si>
    <t>ID stable</t>
  </si>
  <si>
    <t>Famille</t>
  </si>
  <si>
    <t>Sous-catégorie</t>
  </si>
  <si>
    <t>Service / opération</t>
  </si>
  <si>
    <t>Public</t>
  </si>
  <si>
    <t>Canal</t>
  </si>
  <si>
    <t>Nature information</t>
  </si>
  <si>
    <t>Tarif ou donnée (texte)</t>
  </si>
  <si>
    <t>Montant fixe DA</t>
  </si>
  <si>
    <t>Montant max DA</t>
  </si>
  <si>
    <t>Taux maximum</t>
  </si>
  <si>
    <t>Périodicité</t>
  </si>
  <si>
    <t>Plancher opération DA</t>
  </si>
  <si>
    <t>Plafond opération DA</t>
  </si>
  <si>
    <t>Période du plafond</t>
  </si>
  <si>
    <t>Délai réclamation jours</t>
  </si>
  <si>
    <t>Délai réclamation mois</t>
  </si>
  <si>
    <t>Conditions / procédure</t>
  </si>
  <si>
    <t>Payeur</t>
  </si>
  <si>
    <t>Section d'origine</t>
  </si>
  <si>
    <t>Doublon fusionné</t>
  </si>
  <si>
    <t>Point à confirmer</t>
  </si>
  <si>
    <t>AP-001</t>
  </si>
  <si>
    <t>CCP &amp; services financiers</t>
  </si>
  <si>
    <t>Comptes</t>
  </si>
  <si>
    <t>Ouverture d’un compte CCP</t>
  </si>
  <si>
    <t>Particulier</t>
  </si>
  <si>
    <t>Guichet</t>
  </si>
  <si>
    <t>TARIF</t>
  </si>
  <si>
    <t>Gratuit</t>
  </si>
  <si>
    <t>À l’ouverture</t>
  </si>
  <si>
    <t>Pièce d'identité, formulaire CH1/CH2 ; bureau de poste desservant l'adresse</t>
  </si>
  <si>
    <t>Usager</t>
  </si>
  <si>
    <t>7</t>
  </si>
  <si>
    <t>Vérifier exigences documentaires pour particuliers/professionnels</t>
  </si>
  <si>
    <t>AP-002</t>
  </si>
  <si>
    <t>Tenue de compte CCP</t>
  </si>
  <si>
    <t>Compte CCP</t>
  </si>
  <si>
    <t>Récurrent</t>
  </si>
  <si>
    <t>Confirmer conditions et exemptions</t>
  </si>
  <si>
    <t>AP-003</t>
  </si>
  <si>
    <t>Caisse</t>
  </si>
  <si>
    <t>Retrait d'espèces au guichet CCP</t>
  </si>
  <si>
    <t>Par opération</t>
  </si>
  <si>
    <t>Pièce d’identité et livret CCP</t>
  </si>
  <si>
    <t>AP-004</t>
  </si>
  <si>
    <t>Versement d'espèces au guichet CCP</t>
  </si>
  <si>
    <t>AP-005</t>
  </si>
  <si>
    <t>Virements</t>
  </si>
  <si>
    <t>Virement entre comptes CCP</t>
  </si>
  <si>
    <t>Guichet / électronique</t>
  </si>
  <si>
    <t>Des frais peuvent s’appliquer</t>
  </si>
  <si>
    <t>Selon montant et destination</t>
  </si>
  <si>
    <t>Barème effectif et canal non détaillés</t>
  </si>
  <si>
    <t>AP-006</t>
  </si>
  <si>
    <t>Paiement de factures</t>
  </si>
  <si>
    <t>Paiement de factures au guichet ou à distance</t>
  </si>
  <si>
    <t>Guichet / Barki@tic (cité)</t>
  </si>
  <si>
    <t>Présentation de la facture et du livret CCP au guichet</t>
  </si>
  <si>
    <t>Vérifier le nom du service numérique de paiement des factures ; Barki@tic est aussi décrit comme télégramme</t>
  </si>
  <si>
    <t>AP-007</t>
  </si>
  <si>
    <t>Monétique EDAHABIA</t>
  </si>
  <si>
    <t>Gestion carte</t>
  </si>
  <si>
    <t>Réédition du code PIN EDAHABIA</t>
  </si>
  <si>
    <t>Porteur particulier</t>
  </si>
  <si>
    <t>Guichet / E-CCP / BaridiMob</t>
  </si>
  <si>
    <t>200 DA</t>
  </si>
  <si>
    <t>Par demande</t>
  </si>
  <si>
    <t>Sur demande</t>
  </si>
  <si>
    <t>7, 8</t>
  </si>
  <si>
    <t>Section 7 et 8</t>
  </si>
  <si>
    <t>AP-008</t>
  </si>
  <si>
    <t>Blocage ou résiliation de la carte EDAHABIA</t>
  </si>
  <si>
    <t>Guichet / service</t>
  </si>
  <si>
    <t>30 DA</t>
  </si>
  <si>
    <t>AP-009</t>
  </si>
  <si>
    <t>Émission carte</t>
  </si>
  <si>
    <t>Création ou renouvellement EDAHABIA</t>
  </si>
  <si>
    <t>Guichet / renouvellement auto</t>
  </si>
  <si>
    <t>350 DA</t>
  </si>
  <si>
    <t>Par carte / cycle annoncé de 2 ans</t>
  </si>
  <si>
    <t>Validité annoncée 2 ans ; renouvellement automatique ; comparaison avec carte « classique » 4 ans dans le texte</t>
  </si>
  <si>
    <t>Valider validité 2 ans vs mention 4 ans et prix exact</t>
  </si>
  <si>
    <t>AP-010</t>
  </si>
  <si>
    <t>Documents</t>
  </si>
  <si>
    <t>Certificat bancaire CCP</t>
  </si>
  <si>
    <t>Non spécifié</t>
  </si>
  <si>
    <t>Tarif, pièces et délivrance à documenter</t>
  </si>
  <si>
    <t>AP-011</t>
  </si>
  <si>
    <t>Relevé de compte CCP</t>
  </si>
  <si>
    <t>Guichet / E-CCP</t>
  </si>
  <si>
    <t>Au guichet ou en ligne pour les utilisateurs avec accès électronique</t>
  </si>
  <si>
    <t>Confirmer gratuité selon format et canal</t>
  </si>
  <si>
    <t>AP-012</t>
  </si>
  <si>
    <t>Chèques</t>
  </si>
  <si>
    <t>Perte ou vol du chéquier CCP</t>
  </si>
  <si>
    <t>PROCÉDURE</t>
  </si>
  <si>
    <t>Blocage immédiat et nouveau chéquier après vérification</t>
  </si>
  <si>
    <t>Vérifier frais de remplacement, délais et opposition</t>
  </si>
  <si>
    <t>AP-013</t>
  </si>
  <si>
    <t>Épargne</t>
  </si>
  <si>
    <t>Compte épargne postal</t>
  </si>
  <si>
    <t>Bureau de poste</t>
  </si>
  <si>
    <t>Intérêts selon réglementation en vigueur</t>
  </si>
  <si>
    <t>Vérifier existence, opérateur, taux, conditions et distinction CCP/épargne</t>
  </si>
  <si>
    <t>AP-014</t>
  </si>
  <si>
    <t>Plan d’épargne logement</t>
  </si>
  <si>
    <t>Souscription auprès du bureau de poste</t>
  </si>
  <si>
    <t>Confirmer l’existence actuelle et modalités ; ne pas assimiler à crédit</t>
  </si>
  <si>
    <t>AP-015</t>
  </si>
  <si>
    <t>Virement permanent CCP</t>
  </si>
  <si>
    <t>Guichet / en ligne</t>
  </si>
  <si>
    <t>Transfert automatique ; demande avec signature autorisée</t>
  </si>
  <si>
    <t>Barème, disponibilité et fréquence à confirmer</t>
  </si>
  <si>
    <t>AP-016</t>
  </si>
  <si>
    <t>Placements</t>
  </si>
  <si>
    <t>Produit d’investissement postal</t>
  </si>
  <si>
    <t>Formulaire, pièces justificatives et dépôt initial</t>
  </si>
  <si>
    <t>Produit non identifié précisément : ne pas créer d’offre de placement sans nom/taux</t>
  </si>
  <si>
    <t>AP-017</t>
  </si>
  <si>
    <t>International - remise reçue</t>
  </si>
  <si>
    <t>Transferts reçus</t>
  </si>
  <si>
    <t>Réception d'un transfert Western Union</t>
  </si>
  <si>
    <t>Tous publics</t>
  </si>
  <si>
    <t>Paiement en DZD ; maximum annoncé 500 000 DA ; pièce d’identité et MTCN obligatoires</t>
  </si>
  <si>
    <t>Vérifier plafond, disponibilité et nature du transfert : remise entrante seulement</t>
  </si>
  <si>
    <t>AP-018</t>
  </si>
  <si>
    <t>Paiements pour tiers</t>
  </si>
  <si>
    <t>Paiement de prestations/factures pour tiers</t>
  </si>
  <si>
    <t>Par paiement</t>
  </si>
  <si>
    <t>Téléphone, eau, électricité, SONELGAZ, BNP, ONEFD, EMS, TLS Contact, AFS, etc.</t>
  </si>
  <si>
    <t>Vérifier éventuelles exceptions par partenaire</t>
  </si>
  <si>
    <t>AP-019</t>
  </si>
  <si>
    <t>Recharges</t>
  </si>
  <si>
    <t>Recharge téléphonique</t>
  </si>
  <si>
    <t>Guichet / PDV</t>
  </si>
  <si>
    <t>Ooredoo, Djezzy, Mobilis, Assel ; Mobilis MASTER uniquement pour PDV</t>
  </si>
  <si>
    <t>Vérifier noms des opérateurs, restrictions et frais</t>
  </si>
  <si>
    <t>AP-020</t>
  </si>
  <si>
    <t>Clôture de compte CCP</t>
  </si>
  <si>
    <t>Bureau de domiciliation</t>
  </si>
  <si>
    <t>Par clôture</t>
  </si>
  <si>
    <t>Pièce d'identité, formulaire de clôture ; restitution du solde</t>
  </si>
  <si>
    <t>AP-021</t>
  </si>
  <si>
    <t>Renouvellement carte CCP ou livret</t>
  </si>
  <si>
    <t>Ancien livret/carte et pièce d’identité</t>
  </si>
  <si>
    <t>Produit de référence et tarif à préciser ; distinguer EDAHABIA</t>
  </si>
  <si>
    <t>AP-022</t>
  </si>
  <si>
    <t>Services numériques</t>
  </si>
  <si>
    <t>E-CCP</t>
  </si>
  <si>
    <t>Accès au service CCP en ligne</t>
  </si>
  <si>
    <t>Web / smartphone</t>
  </si>
  <si>
    <t>Après inscription et activation ; solde, mouvements, transferts et paiement de factures</t>
  </si>
  <si>
    <t>Fonctions et tarification canal à confirmer</t>
  </si>
  <si>
    <t>AP-023</t>
  </si>
  <si>
    <t>Réclamations</t>
  </si>
  <si>
    <t>Contester une opération CCP</t>
  </si>
  <si>
    <t>Se rapprocher du bureau de poste</t>
  </si>
  <si>
    <t>Délai et pièces à préciser</t>
  </si>
  <si>
    <t>AP-024</t>
  </si>
  <si>
    <t>Retrait carte</t>
  </si>
  <si>
    <t>Retrait GAB Algérie Poste</t>
  </si>
  <si>
    <t>GAB Algérie Poste</t>
  </si>
  <si>
    <t>Par retrait</t>
  </si>
  <si>
    <t>8</t>
  </si>
  <si>
    <t>AP-025</t>
  </si>
  <si>
    <t>Retrait GAB d'une banque</t>
  </si>
  <si>
    <t>GAB bancaire interbancaire</t>
  </si>
  <si>
    <t>35 DA</t>
  </si>
  <si>
    <t>AP-026</t>
  </si>
  <si>
    <t>Retrait PIN PAD</t>
  </si>
  <si>
    <t>Retrait sur PIN PAD</t>
  </si>
  <si>
    <t>PIN PAD</t>
  </si>
  <si>
    <t>18 DA + barème progressif annoncé</t>
  </si>
  <si>
    <t>18 DA fixe + 2 DA par 1 000 jusqu'à 18 000 ; 3 DA par 1 000 jusqu'à 1 000 000 ; 6 DA par 1 000 au-dessus.</t>
  </si>
  <si>
    <t>Calcul marginal/par tranche et arrondi des fractions de 1 000 non spécifiés ; simulation bloquée</t>
  </si>
  <si>
    <t>AP-027</t>
  </si>
  <si>
    <t>Paiement carte</t>
  </si>
  <si>
    <t>Paiement TPE avec EDAHABIA</t>
  </si>
  <si>
    <t>TPE</t>
  </si>
  <si>
    <t>Gratuit pour le porteur</t>
  </si>
  <si>
    <t>Commission supportée par le commerçant</t>
  </si>
  <si>
    <t>Porteur</t>
  </si>
  <si>
    <t>Vérifier périmètre de gratuité porteur</t>
  </si>
  <si>
    <t>AP-028</t>
  </si>
  <si>
    <t>Paiement en ligne EDAHABIA</t>
  </si>
  <si>
    <t>E-commerce</t>
  </si>
  <si>
    <t>Commission supportée par l’e-fournisseur</t>
  </si>
  <si>
    <t>AP-029</t>
  </si>
  <si>
    <t>Plafonds carte</t>
  </si>
  <si>
    <t>Plafond de retrait sur GAB</t>
  </si>
  <si>
    <t>GAB</t>
  </si>
  <si>
    <t>PLAFOND</t>
  </si>
  <si>
    <t>50 000 DA/jour</t>
  </si>
  <si>
    <t>Par jour</t>
  </si>
  <si>
    <t>Jour</t>
  </si>
  <si>
    <t>AP-030</t>
  </si>
  <si>
    <t>Plafond de paiement TPE</t>
  </si>
  <si>
    <t>200 000 DA/jour</t>
  </si>
  <si>
    <t>AP-031</t>
  </si>
  <si>
    <t>Virement carte</t>
  </si>
  <si>
    <t>Virement CCP vers CCP via GAB</t>
  </si>
  <si>
    <t>De 1 000 à 50 000 DA/jour</t>
  </si>
  <si>
    <t>Numéro RIP du bénéficiaire figurant sur le chèque bleu</t>
  </si>
  <si>
    <t>Frais de virement par GAB non spécifiés</t>
  </si>
  <si>
    <t>AP-032</t>
  </si>
  <si>
    <t>Virement mobile</t>
  </si>
  <si>
    <t>Virement CCP via BaridiMob</t>
  </si>
  <si>
    <t>BaridiMob</t>
  </si>
  <si>
    <t>De 1 000 à 200 000 DA/jour</t>
  </si>
  <si>
    <t>Bénéficiaire peut retirer les fonds le jour même selon texte</t>
  </si>
  <si>
    <t>Plafond de 200 000 DA/jour à vérifier ; tarification décrite séparément section 9</t>
  </si>
  <si>
    <t>AP-033</t>
  </si>
  <si>
    <t>Information transaction</t>
  </si>
  <si>
    <t>Confirmation paiement en ligne</t>
  </si>
  <si>
    <t>Site + SMS</t>
  </si>
  <si>
    <t>INFORMATION</t>
  </si>
  <si>
    <t>Reçu sur le site et SMS</t>
  </si>
  <si>
    <t>AP-034</t>
  </si>
  <si>
    <t>Confirmation paiement TPE</t>
  </si>
  <si>
    <t>TPE + SMS</t>
  </si>
  <si>
    <t>Ticket de paiement et SMS</t>
  </si>
  <si>
    <t>AP-035</t>
  </si>
  <si>
    <t>Réclamation e-paiement</t>
  </si>
  <si>
    <t>Fournisseur e-commerce</t>
  </si>
  <si>
    <t>Contacter e-fournisseur muni d’un ticket ou reçu</t>
  </si>
  <si>
    <t>AP-036</t>
  </si>
  <si>
    <t>Réclamation retrait sur GAB Algérie Poste</t>
  </si>
  <si>
    <t>DÉLAI</t>
  </si>
  <si>
    <t>Délai non défini</t>
  </si>
  <si>
    <t>Recevabilité non précisée dans le texte</t>
  </si>
  <si>
    <t>Délai et procédure à obtenir</t>
  </si>
  <si>
    <t>AP-037</t>
  </si>
  <si>
    <t>Réclamation retrait sur GAB bancaire</t>
  </si>
  <si>
    <t>GAB banque</t>
  </si>
  <si>
    <t>98 jours</t>
  </si>
  <si>
    <t>Délai de recevabilité déclaré</t>
  </si>
  <si>
    <t>AP-038</t>
  </si>
  <si>
    <t>Réclamation e-paiement — opérateurs énumérés</t>
  </si>
  <si>
    <t>45 jours</t>
  </si>
  <si>
    <t>ATM Mobilis, Deazy, Caramma Assurance, CNRC, Macirvi, CAAT selon texte</t>
  </si>
  <si>
    <t>Orthographe/identité exacte des commerçants à confirmer</t>
  </si>
  <si>
    <t>AP-039</t>
  </si>
  <si>
    <t>Réclamation e-paiement Algérie Télécom</t>
  </si>
  <si>
    <t>90 jours</t>
  </si>
  <si>
    <t>AP-040</t>
  </si>
  <si>
    <t>Réclamation e-paiement Air Algérie</t>
  </si>
  <si>
    <t>120 jours</t>
  </si>
  <si>
    <t>AP-041</t>
  </si>
  <si>
    <t>Réseaux</t>
  </si>
  <si>
    <t>Utilisation EDAHABIA sur GAB de banques</t>
  </si>
  <si>
    <t>Interbancaire</t>
  </si>
  <si>
    <t>Utilisation interbancaire</t>
  </si>
  <si>
    <t>Accès selon réseau et compatibilité</t>
  </si>
  <si>
    <t>AP-042</t>
  </si>
  <si>
    <t>Identifiants et référentiels</t>
  </si>
  <si>
    <t>RIP</t>
  </si>
  <si>
    <t>RIP utilisé pour virement GAB</t>
  </si>
  <si>
    <t>GAB / chèque bleu</t>
  </si>
  <si>
    <t>DÉFINITION</t>
  </si>
  <si>
    <t>Non applicable</t>
  </si>
  <si>
    <t>Le numéro RIP est mentionné sur le chèque bleu</t>
  </si>
  <si>
    <t>AP-043</t>
  </si>
  <si>
    <t>Définition RIP</t>
  </si>
  <si>
    <t>Identifiant du compte postal ; texte cite nom, prénom, adresse, NIP</t>
  </si>
  <si>
    <t>Vérifier composition normative et présentation exacte du RIP</t>
  </si>
  <si>
    <t>AP-044</t>
  </si>
  <si>
    <t>NIP</t>
  </si>
  <si>
    <t>Définition NIP</t>
  </si>
  <si>
    <t>Le texte indique code banque 007, code agence 99999, numéro de compte CCP et clé</t>
  </si>
  <si>
    <t>Contrôler terminologie et structure des identifiants (RIP/NIP)</t>
  </si>
  <si>
    <t>AP-045</t>
  </si>
  <si>
    <t>Utilité du RIP</t>
  </si>
  <si>
    <t>Virements / interbancaire</t>
  </si>
  <si>
    <t>Coordonnées du compte postal pour GAB, BaridiMob et autres opérations</t>
  </si>
  <si>
    <t>AP-046</t>
  </si>
  <si>
    <t>Paiement factures</t>
  </si>
  <si>
    <t>Paiement de factures avec EDAHABIA</t>
  </si>
  <si>
    <t>Carte / services conventionnés</t>
  </si>
  <si>
    <t>Factures d’opérateurs conventionnés listés sur le site Algérie Poste</t>
  </si>
  <si>
    <t>Liste fournisseurs et éventuels frais à confirmer</t>
  </si>
  <si>
    <t>AP-047</t>
  </si>
  <si>
    <t>Suivi des opérations</t>
  </si>
  <si>
    <t>Relevé opérations carte à la poste</t>
  </si>
  <si>
    <t>Relevé pour la période souhaitée</t>
  </si>
  <si>
    <t>AP-048</t>
  </si>
  <si>
    <t>Mini-relevé de carte</t>
  </si>
  <si>
    <t>Réseau GAB bancaire</t>
  </si>
  <si>
    <t>Dix dernières transactions</t>
  </si>
  <si>
    <t>AP-049</t>
  </si>
  <si>
    <t>Relevé complet de carte</t>
  </si>
  <si>
    <t>Site Algérie Poste / E-CCP</t>
  </si>
  <si>
    <t>Relevé complet accessible en ligne selon le texte</t>
  </si>
  <si>
    <t>AP-050</t>
  </si>
  <si>
    <t>Incidents carte</t>
  </si>
  <si>
    <t>Carte oubliée dans un GAB</t>
  </si>
  <si>
    <t>Carte capturée par l’automate ; contacter l’établissement postal pour la récupérer</t>
  </si>
  <si>
    <t>AP-051</t>
  </si>
  <si>
    <t>Monétique TPE commerçants</t>
  </si>
  <si>
    <t>Équipement TPE</t>
  </si>
  <si>
    <t>Acquisition / mise à disposition du TPE mobile</t>
  </si>
  <si>
    <t>Professionnel / Entreprise</t>
  </si>
  <si>
    <t>TPE mobile</t>
  </si>
  <si>
    <t>À la mise à disposition</t>
  </si>
  <si>
    <t>Abonnement mensuel distinct de 800 DA HT</t>
  </si>
  <si>
    <t>Commerçant</t>
  </si>
  <si>
    <t>8, 9</t>
  </si>
  <si>
    <t>Section 8 et 9</t>
  </si>
  <si>
    <t>Vérifier gratuité de matériel, dépôt de garantie et modalités d’installation</t>
  </si>
  <si>
    <t>AP-052</t>
  </si>
  <si>
    <t>Abonnement TPE</t>
  </si>
  <si>
    <t>Abonnement TPE mobile</t>
  </si>
  <si>
    <t>800 DA HT / mois</t>
  </si>
  <si>
    <t>Mensuelle</t>
  </si>
  <si>
    <t>300 DA gestion + 300 DA connectivité + 200 DA adhésion Algérie Poste</t>
  </si>
  <si>
    <t>Confirmer base HT et éventuel assujettissement TVA</t>
  </si>
  <si>
    <t>AP-053</t>
  </si>
  <si>
    <t>Frais commerçant</t>
  </si>
  <si>
    <t>Commission transaction sur TPE</t>
  </si>
  <si>
    <t>Jusqu’à 1,50 % du montant</t>
  </si>
  <si>
    <t>Par transaction</t>
  </si>
  <si>
    <t>Taux exact selon barème non communiqué</t>
  </si>
  <si>
    <t>Plafond uniquement, pas de taux fixe exploitable pour tous</t>
  </si>
  <si>
    <t>AP-054</t>
  </si>
  <si>
    <t>Administration TPE</t>
  </si>
  <si>
    <t>Déménagement / modification adresse TPE</t>
  </si>
  <si>
    <t>Courrier DUPW</t>
  </si>
  <si>
    <t>Courrier à la Direction d’Unité Postale de Wilaya : ancienne et nouvelle adresse, nouveau numéro de téléphone</t>
  </si>
  <si>
    <t>AP-055</t>
  </si>
  <si>
    <t>Fonctions TPE</t>
  </si>
  <si>
    <t>Fonctions réalisables sur un TPE</t>
  </si>
  <si>
    <t>Vente, annulation, remboursement, cash advance</t>
  </si>
  <si>
    <t>Confirmer disponibilité du cash advance et de chaque fonctionnalité TPE</t>
  </si>
  <si>
    <t>AP-056</t>
  </si>
  <si>
    <t>Réseau et services postaux</t>
  </si>
  <si>
    <t>Boîtes postales</t>
  </si>
  <si>
    <t>Abonnement boîte postale — personne physique</t>
  </si>
  <si>
    <t>1 000 DA / an</t>
  </si>
  <si>
    <t>Annuelle</t>
  </si>
  <si>
    <t>Tacite reconduction ; renouvellement à partir du 15 décembre</t>
  </si>
  <si>
    <t>9</t>
  </si>
  <si>
    <t>AP-057</t>
  </si>
  <si>
    <t>Abonnement boîte postale — personne morale</t>
  </si>
  <si>
    <t>4 200 DA / an</t>
  </si>
  <si>
    <t>AP-058</t>
  </si>
  <si>
    <t>Détail abonnement</t>
  </si>
  <si>
    <t>Composante abonnement TPE — gestion</t>
  </si>
  <si>
    <t>300 DA HT / mois</t>
  </si>
  <si>
    <t>Composante du forfait TPE à 800 DA HT/mois : ne pas additionner si forfait retenu</t>
  </si>
  <si>
    <t>Inclus dans 800 DA HT mensuels</t>
  </si>
  <si>
    <t>AP-059</t>
  </si>
  <si>
    <t>Composante abonnement TPE — connectivité</t>
  </si>
  <si>
    <t>AP-060</t>
  </si>
  <si>
    <t>Composante abonnement TPE — adhésion Algérie Poste</t>
  </si>
  <si>
    <t>200 DA HT / mois</t>
  </si>
  <si>
    <t>AP-061</t>
  </si>
  <si>
    <t>Adhésion BaridiMob</t>
  </si>
  <si>
    <t>Application BaridiMob</t>
  </si>
  <si>
    <t>50 DA</t>
  </si>
  <si>
    <t>À l’adhésion</t>
  </si>
  <si>
    <t>Barème canal/applicable à vérifier</t>
  </si>
  <si>
    <t>AP-062</t>
  </si>
  <si>
    <t>Virement via BaridiMob — frais</t>
  </si>
  <si>
    <t>12 à 24 DA / virement</t>
  </si>
  <si>
    <t>Par virement</t>
  </si>
  <si>
    <t>Tranches de montant non indiquées dans le texte</t>
  </si>
  <si>
    <t>Barème détaillé par tranche à obtenir avant calcul exact</t>
  </si>
  <si>
    <t>AP-063</t>
  </si>
  <si>
    <t>Abonnement mensuel BaridiMob</t>
  </si>
  <si>
    <t>50 DA / mois</t>
  </si>
  <si>
    <t>Vérifier caractère automatique/optionnel</t>
  </si>
  <si>
    <t>AP-064</t>
  </si>
  <si>
    <t>Réexpédition courrier</t>
  </si>
  <si>
    <t>Réexpédition de courrier — temporaire</t>
  </si>
  <si>
    <t>Modèle 755A ; changement temporaire indiqué 3 mois ; prolongations payantes possibles</t>
  </si>
  <si>
    <t>Tarif exact et règles de prolongation non fournis</t>
  </si>
  <si>
    <t>AP-065</t>
  </si>
  <si>
    <t>Réexpédition de courrier — définitive</t>
  </si>
  <si>
    <t>Modèle 755B ; durée indiquée 1 an ; prolongations payantes possibles</t>
  </si>
  <si>
    <t>Durées (« poste restante » dans le texte) et tarif à confirmer</t>
  </si>
  <si>
    <t>AP-066</t>
  </si>
  <si>
    <t>Poste restante</t>
  </si>
  <si>
    <t>Poste restante — journaux</t>
  </si>
  <si>
    <t>Par objet</t>
  </si>
  <si>
    <t>Garde maximale annoncée : 1 mois</t>
  </si>
  <si>
    <t>Unité exacte du prix à confirmer</t>
  </si>
  <si>
    <t>AP-067</t>
  </si>
  <si>
    <t>Poste restante — autres objets</t>
  </si>
  <si>
    <t>55 DA</t>
  </si>
  <si>
    <t>AP-068</t>
  </si>
  <si>
    <t>Abonnement annuel poste restante</t>
  </si>
  <si>
    <t>2 000 DA / an</t>
  </si>
  <si>
    <t>Carte d'abonnement valable 1 an</t>
  </si>
  <si>
    <t>AP-069</t>
  </si>
  <si>
    <t>Procurations</t>
  </si>
  <si>
    <t>Procuration postale</t>
  </si>
  <si>
    <t>Guichet / notaire</t>
  </si>
  <si>
    <t>Droit de timbre</t>
  </si>
  <si>
    <t>Modèle 776 ou procuration notariée ; valable uniquement pour l’établissement dépositaire</t>
  </si>
  <si>
    <t>Montant droit de timbre et portée juridique à confirmer</t>
  </si>
  <si>
    <t>AP-070</t>
  </si>
  <si>
    <t>Télégrammes</t>
  </si>
  <si>
    <t>Service Barki@tic</t>
  </si>
  <si>
    <t>Tout bureau / convention entreprise</t>
  </si>
  <si>
    <t>Envoi de télégrammes électroniques ; personnes physiques : bureau ; personnes morales : convention avec DUPW</t>
  </si>
  <si>
    <t>Clarifier discordance avec mention de Barki@tic pour paiement de factures (§7)</t>
  </si>
  <si>
    <t>AP-071</t>
  </si>
  <si>
    <t>Produits à valeur ajoutée</t>
  </si>
  <si>
    <t>Produits à valeur ajoutée postaux</t>
  </si>
  <si>
    <t>Vignettes auto, timbres fiscaux/amendes/poste, pages MAGHREB, pochettes philatéliques</t>
  </si>
  <si>
    <t>Chaque produit doit avoir son tarif propre si intégré ultérieurement</t>
  </si>
  <si>
    <t>AP-072</t>
  </si>
  <si>
    <t>Philatélie</t>
  </si>
  <si>
    <t>Abonnement philatélique</t>
  </si>
  <si>
    <t>Recette principale</t>
  </si>
  <si>
    <t>Abonnement mensuel — montant non indiqué</t>
  </si>
  <si>
    <t>Souscription locale, versement mensuel, envoi du timbre du 1er jour par recommandé</t>
  </si>
  <si>
    <t>Prix, conditions d’envoi et frais postaux manquants</t>
  </si>
  <si>
    <t>AP-073</t>
  </si>
  <si>
    <t>Réclamation courrier recommandé domestique non reçu</t>
  </si>
  <si>
    <t>Formulaire N°846</t>
  </si>
  <si>
    <t>Délai : 1 an</t>
  </si>
  <si>
    <t>À compter du lendemain de la date de dépôt</t>
  </si>
  <si>
    <t>AP-074</t>
  </si>
  <si>
    <t>Réclamation courrier recommandé international non reçu</t>
  </si>
  <si>
    <t>Formulaire CN08</t>
  </si>
  <si>
    <t>Délai : 6 mois</t>
  </si>
  <si>
    <t>Ne pas convertir automatiquement les 6 mois en un nombre fixe de jours</t>
  </si>
  <si>
    <t>AP-075</t>
  </si>
  <si>
    <t>Codes postaux</t>
  </si>
  <si>
    <t>Consultation du code postal</t>
  </si>
  <si>
    <t>www.poste.dz / guichet</t>
  </si>
  <si>
    <t>Par consultation</t>
  </si>
  <si>
    <t>Recherche sur poste.dz ou au bureau de poste de résidence</t>
  </si>
  <si>
    <t>CCP : ouverture, tenue, caisse, virements, épargne et chèques</t>
  </si>
  <si>
    <t>Distinguer les comptes CCP des éventuels produits d'épargne postale : aucun taux non fourni n'est complété.</t>
  </si>
  <si>
    <t>ID</t>
  </si>
  <si>
    <t>Service / information</t>
  </si>
  <si>
    <t>Tarif annoncé</t>
  </si>
  <si>
    <t>Montant DA</t>
  </si>
  <si>
    <t>Max DA</t>
  </si>
  <si>
    <t>% max</t>
  </si>
  <si>
    <t>Fréquence</t>
  </si>
  <si>
    <t>Section</t>
  </si>
  <si>
    <t>Vérification nécessaire</t>
  </si>
  <si>
    <t>Type</t>
  </si>
  <si>
    <t>Confirmer date et tarif sur source officielle</t>
  </si>
  <si>
    <t>Carte EDAHABIA : monétique, paiements, plafonds et réclamations</t>
  </si>
  <si>
    <t>Les tarifs du porteur et les plafonds sont deux types d'informations distincts. Les frais de PIN et de carte sont dédupliqués entre sections 7 et 8.</t>
  </si>
  <si>
    <t>TPE MOBILE : TARIFS ET SERVICES AUX COMMERÇANTS</t>
  </si>
  <si>
    <t>Le forfait de 800 DA HT comprend 300 + 300 + 200 DA : les composantes ne doivent jamais être additionnées une seconde fois.</t>
  </si>
  <si>
    <t>SERVICES POSTAUX : BOÎTES, COURRIER ET POSTE RESTANTE</t>
  </si>
  <si>
    <t>La location de boîte postale et les services de courrier sont séparés des frais du compte CCP.</t>
  </si>
  <si>
    <t>BARIDIMOB, E-CCP ET SERVICES NUMÉRIQUES</t>
  </si>
  <si>
    <t>Tarifs de virements et d'abonnements extraits du texte ; barèmes incomplets signalés.</t>
  </si>
  <si>
    <t>RIP / NIP ET TRANSFERT WESTERN UNION ENTRANT</t>
  </si>
  <si>
    <t>L'identifiant de compte ne doit pas être confondu avec une donnée tarifaire. Western Union désigne ici un paiement entrant en DZD, pas un virement international sortant depuis le CCP.</t>
  </si>
  <si>
    <t>Objet</t>
  </si>
  <si>
    <t>Tarif</t>
  </si>
  <si>
    <t>Description source</t>
  </si>
  <si>
    <t>Point de contrôle</t>
  </si>
  <si>
    <t>Nature</t>
  </si>
  <si>
    <t>PLAFONDS, DURÉES ET DÉLAIS DE RÉCLAMATION</t>
  </si>
  <si>
    <t>Comparateur spécifique des limites d'opération et des délais. Aucun délai n'est traité comme un tarif ; les années/mois calendaires restent en unités calendaires.</t>
  </si>
  <si>
    <t>Opération</t>
  </si>
  <si>
    <t>Min opération DA</t>
  </si>
  <si>
    <t>Max opération DA</t>
  </si>
  <si>
    <t>Base limite</t>
  </si>
  <si>
    <t>Réclamation jours</t>
  </si>
  <si>
    <t>Réclamation mois</t>
  </si>
  <si>
    <t>Texte source</t>
  </si>
  <si>
    <t>Conditions</t>
  </si>
  <si>
    <t>À vérifier</t>
  </si>
  <si>
    <t>Délai calendaire d'un an : ne pas assimiler à 365 jours (année bissextile)</t>
  </si>
  <si>
    <t>BARÈME RETRAIT PIN PAD — DÉCOMPOSITION DES TRANCHES</t>
  </si>
  <si>
    <t>Tarif retranscrit de la section 8. Aucune formule de tarif total n'est activée : la règle de calcul par tranche et l'arrondi aux 1 000 DA ne sont pas documentés.</t>
  </si>
  <si>
    <t>Code barème</t>
  </si>
  <si>
    <t>Composant</t>
  </si>
  <si>
    <t>Seuil début DA</t>
  </si>
  <si>
    <t>Seuil fin DA</t>
  </si>
  <si>
    <t>Valeur</t>
  </si>
  <si>
    <t>Unité</t>
  </si>
  <si>
    <t>Texte de la règle</t>
  </si>
  <si>
    <t>Statut calcul</t>
  </si>
  <si>
    <t>PINPAD-01</t>
  </si>
  <si>
    <t>Frais fixe</t>
  </si>
  <si>
    <t>DA / retrait</t>
  </si>
  <si>
    <t>S'ajoute au tarif variable</t>
  </si>
  <si>
    <t>Oui — prix fixe communiqué</t>
  </si>
  <si>
    <t>Tranche annoncée 1</t>
  </si>
  <si>
    <t>DA / 1 000 DA</t>
  </si>
  <si>
    <t>Jusqu'à 18 000 DA</t>
  </si>
  <si>
    <t>Interprétation de tranche et arrondi à confirmer</t>
  </si>
  <si>
    <t>Tranche annoncée 2</t>
  </si>
  <si>
    <t>De 18 000 à 1 000 000 DA</t>
  </si>
  <si>
    <t>Progressif marginal ou taux appliqué à tout le montant ?</t>
  </si>
  <si>
    <t>Tranche annoncée 3</t>
  </si>
  <si>
    <t>Au-dessus de 1 000 000 DA</t>
  </si>
  <si>
    <t>Plafond pratique, arrondi et unité à confirmer</t>
  </si>
  <si>
    <t>MATRICE D’INTÉGRATION AU COMPARATEUR FINCLUDIA</t>
  </si>
  <si>
    <t>Cette feuille indique le niveau de couverture, le segment et les limites de comparabilité. Les tarifs non validés doivent rester non publiables.</t>
  </si>
  <si>
    <t>Famille FINCLUDIA</t>
  </si>
  <si>
    <t>Public cible</t>
  </si>
  <si>
    <t>Couverture dans texte</t>
  </si>
  <si>
    <t>Synthèse / type de donnée</t>
  </si>
  <si>
    <t>Références catalogue</t>
  </si>
  <si>
    <t>Précaution d'intégration</t>
  </si>
  <si>
    <t>Ouverture et gestion de comptes</t>
  </si>
  <si>
    <t>Couvert</t>
  </si>
  <si>
    <t>Compte CCP ouverture et tenue gratuites, selon données fournies</t>
  </si>
  <si>
    <t>AP-001, AP-002</t>
  </si>
  <si>
    <t>Comparer uniquement le CCP avec comptes de paiement / comptes chèques</t>
  </si>
  <si>
    <t>Opérations de caisse</t>
  </si>
  <si>
    <t>Retrait et versement au guichet gratuits</t>
  </si>
  <si>
    <t>AP-003, AP-004</t>
  </si>
  <si>
    <t>Distinguer guichet des retraits GAB</t>
  </si>
  <si>
    <t>Virements domestiques</t>
  </si>
  <si>
    <t>Partiel</t>
  </si>
  <si>
    <t>Virements CCP et GAB / BaridiMob : frais et plafonds mixtes</t>
  </si>
  <si>
    <t>AP-005, AP-031, AP-032, AP-062</t>
  </si>
  <si>
    <t>Barème virement CCP et paliers 12–24 DA non détaillés</t>
  </si>
  <si>
    <t>Monétique locale (carte)</t>
  </si>
  <si>
    <t>EDAHABIA : création, PIN, blocage, retraits GAB, paiements</t>
  </si>
  <si>
    <t>AP-007 à AP-009; AP-024 à AP-034</t>
  </si>
  <si>
    <t>Vérifier durée de validité ; frais renouvellement</t>
  </si>
  <si>
    <t>Monétique / acquisition TPE</t>
  </si>
  <si>
    <t>Abonnement TPE mobile + commission commerçant</t>
  </si>
  <si>
    <t>AP-051 à AP-055; AP-058 à AP-060</t>
  </si>
  <si>
    <t>Forfait 800 HT, composantes 300+300+200 non additives</t>
  </si>
  <si>
    <t>Services digitaux</t>
  </si>
  <si>
    <t>E-CCP et BaridiMob, adhésion/abonnement/virement</t>
  </si>
  <si>
    <t>AP-022, AP-032, AP-061 à AP-063</t>
  </si>
  <si>
    <t>Vérifier souscription et grille des frais</t>
  </si>
  <si>
    <t>Épargne et placements</t>
  </si>
  <si>
    <t>Produits évoqués, taux et frais non communiqués</t>
  </si>
  <si>
    <t>AP-013 à AP-016</t>
  </si>
  <si>
    <t>Ne pas inventer de rendement ni statut d'offre</t>
  </si>
  <si>
    <t>Crédits / financements</t>
  </si>
  <si>
    <t>Tous segments</t>
  </si>
  <si>
    <t>Non documenté</t>
  </si>
  <si>
    <t>Aucun produit ni taux de crédit figurant dans le texte fourni</t>
  </si>
  <si>
    <t>—</t>
  </si>
  <si>
    <t>Non documenté ne signifie pas 'impossible' ou 'interdit'</t>
  </si>
  <si>
    <t>Cartes internationales</t>
  </si>
  <si>
    <t>Aucune grille carte internationale dans le texte</t>
  </si>
  <si>
    <t>Ne pas conclure à une absence universelle de produit</t>
  </si>
  <si>
    <t>Change / comptes en devises</t>
  </si>
  <si>
    <t>Aucune grille de change/compte devises; WU paie en DA</t>
  </si>
  <si>
    <t>Ne pas assimiler Western Union entrant à un virement sortant</t>
  </si>
  <si>
    <t>Services internationaux reçus</t>
  </si>
  <si>
    <t>Western Union : remise reçue en DZD et maximum annoncé</t>
  </si>
  <si>
    <t>Plafond/règles WU à valider</t>
  </si>
  <si>
    <t>Chèques / incidents</t>
  </si>
  <si>
    <t>Perte/vol de chéquier CCP (tarif non spécifié)</t>
  </si>
  <si>
    <t>Détailler émission, opposition, rejet si sources futures</t>
  </si>
  <si>
    <t>Location de coffre-fort</t>
  </si>
  <si>
    <t>Aucune information sur coffre-fort</t>
  </si>
  <si>
    <t>Ne pas transformer une boîte postale en coffre bancaire</t>
  </si>
  <si>
    <t>Boîte postale / courrier</t>
  </si>
  <si>
    <t>Particulier / Entreprise</t>
  </si>
  <si>
    <t>Couvert (hors banque)</t>
  </si>
  <si>
    <t>Boîtes postales, poste restante, réexpédition et philatélie</t>
  </si>
  <si>
    <t>AP-056, AP-057, AP-064 à AP-075</t>
  </si>
  <si>
    <t>Comparateur postal séparé du comparateur bancaire</t>
  </si>
  <si>
    <t>Réclamations et recours</t>
  </si>
  <si>
    <t>Particulier / Tous publics</t>
  </si>
  <si>
    <t>Couvert (procédure)</t>
  </si>
  <si>
    <t>Délai variable selon canal/prestataire</t>
  </si>
  <si>
    <t>AP-035 à AP-040; AP-073 à AP-074</t>
  </si>
  <si>
    <t>Ne pas afficher un délai unique pour toute réclamation</t>
  </si>
  <si>
    <t>REGISTRE DES POINTS À VÉRIFIER AVANT PUBLICATION</t>
  </si>
  <si>
    <t>Toutes les conditions sont issues du texte transmis et non de pièces officielles datées. Les contrôles demandés ci-dessous ne constituent pas une vérification réalisée.</t>
  </si>
  <si>
    <t>ID contrôle</t>
  </si>
  <si>
    <t>Service / ID</t>
  </si>
  <si>
    <t>Limite ou anomalie</t>
  </si>
  <si>
    <t>Preuve attendue</t>
  </si>
  <si>
    <t>Impact produit</t>
  </si>
  <si>
    <t>P01</t>
  </si>
  <si>
    <t>Tous tarifs</t>
  </si>
  <si>
    <t>Absence de référence officielle datée et date d'effet</t>
  </si>
  <si>
    <t>Obtenir grille tarifaire AP à jour et liens par rubrique</t>
  </si>
  <si>
    <t>Toute publication externe</t>
  </si>
  <si>
    <t>P02</t>
  </si>
  <si>
    <t>Validité EDAHABIA indiquée 2 ans, mention « classique 4 ans »</t>
  </si>
  <si>
    <t>Valider génération de carte, durée officielle et frais renouvellement</t>
  </si>
  <si>
    <t>Cotisation annualisée</t>
  </si>
  <si>
    <t>P03</t>
  </si>
  <si>
    <t>PIN PAD : mode de calcul progressif, base, plafond, arrondi des milliers inconnus</t>
  </si>
  <si>
    <t>Obtenir exemple de calcul certifié pour trois montants frontières</t>
  </si>
  <si>
    <t>Calcul coût retrait PIN PAD</t>
  </si>
  <si>
    <t>P04</t>
  </si>
  <si>
    <t>AP-031, AP-032</t>
  </si>
  <si>
    <t>Plafonds GAB/BaridiMob, unité/jour et éventuelle cumulativité</t>
  </si>
  <si>
    <t>Valider plafond produit, profil, version et circuit</t>
  </si>
  <si>
    <t>Affichage plafonds</t>
  </si>
  <si>
    <t>P05</t>
  </si>
  <si>
    <t>AP-005, AP-062</t>
  </si>
  <si>
    <t>Frais virement CCP non précisés et BaridiMob 12–24 DA sans tranches</t>
  </si>
  <si>
    <t>Obtenir barème exhaustif par montant/canal</t>
  </si>
  <si>
    <t>Comparaison virements</t>
  </si>
  <si>
    <t>P06</t>
  </si>
  <si>
    <t>AP-052, AP-058:060</t>
  </si>
  <si>
    <t>800 DA HT TPE et trois composantes incluses</t>
  </si>
  <si>
    <t>Valider TVA, facturation, éventuelle caution et montant courant</t>
  </si>
  <si>
    <t>Coût annuel TPE</t>
  </si>
  <si>
    <t>P07</t>
  </si>
  <si>
    <t>Commission TPE « jusqu'à 1,50% » sans grille des paliers</t>
  </si>
  <si>
    <t>Obtenir commission effective par segment/montant</t>
  </si>
  <si>
    <t>Simulation commerçant</t>
  </si>
  <si>
    <t>P08</t>
  </si>
  <si>
    <t>AP-035:040</t>
  </si>
  <si>
    <t>Délai réclamation variable selon canal/partenaire</t>
  </si>
  <si>
    <t>Confirmer base contractuelle, point de départ et partenaires</t>
  </si>
  <si>
    <t>Parcours réclamations</t>
  </si>
  <si>
    <t>P09</t>
  </si>
  <si>
    <t>AP-013:016</t>
  </si>
  <si>
    <t>Épargne/plan logement/investissement évoqués sans produits précis</t>
  </si>
  <si>
    <t>Obtenir documentation produit avant création offre</t>
  </si>
  <si>
    <t>Comparateur épargne</t>
  </si>
  <si>
    <t>P10</t>
  </si>
  <si>
    <t>WU réception DA, plafond 500 000 DA ; détails de disponibilité</t>
  </si>
  <si>
    <t>Confirmer plafond, partenaires et pièces</t>
  </si>
  <si>
    <t>Services internationaux</t>
  </si>
  <si>
    <t>P11</t>
  </si>
  <si>
    <t>AP-042:045</t>
  </si>
  <si>
    <t>Terminologie RIP vs NIP et composants de l'identifiant postal</t>
  </si>
  <si>
    <t>Valider définitions officielles, exemples masqués et normes</t>
  </si>
  <si>
    <t>Fiche pédagogique</t>
  </si>
  <si>
    <t>P12</t>
  </si>
  <si>
    <t>AP-006, AP-070</t>
  </si>
  <si>
    <t>Barki@tic cité comme paiement de factures et comme télégramme</t>
  </si>
  <si>
    <t>Clarifier usage exact, distinguer chaque service</t>
  </si>
  <si>
    <t>Interface produits</t>
  </si>
  <si>
    <t>P13</t>
  </si>
  <si>
    <t>AP-061:063</t>
  </si>
  <si>
    <t>Adhésion BaridiMob, abonnement 50/mois, virement 12–24</t>
  </si>
  <si>
    <t>Confirmer coexistence des trois frais et conditions de facturation</t>
  </si>
  <si>
    <t>Budget utilisateur</t>
  </si>
  <si>
    <t>P14</t>
  </si>
  <si>
    <t>AP-064:065</t>
  </si>
  <si>
    <t>Réexpédition modèles 755A/755B : tarif inconnu, durée libellé ambigu</t>
  </si>
  <si>
    <t>Obtenir brochure tarifaire courrier</t>
  </si>
  <si>
    <t>Comparateur postal</t>
  </si>
  <si>
    <t>P15</t>
  </si>
  <si>
    <t>« carte CCP ou livret » différent de carte EDAHABIA</t>
  </si>
  <si>
    <t>Identifier le produit de référence et ses tarifs</t>
  </si>
  <si>
    <t>Normalisation du catalogue</t>
  </si>
  <si>
    <t>P16</t>
  </si>
  <si>
    <t>Absence de données</t>
  </si>
  <si>
    <t>Crédit, carte internationale, devises, coffre non documentés</t>
  </si>
  <si>
    <t>Ne jamais importer une offre à partir d'une absence de données</t>
  </si>
  <si>
    <t>Bloquer ces catégories</t>
  </si>
  <si>
    <t>EXPORT NORMALISÉ — INTÉGRATION FINCLUDIA</t>
  </si>
  <si>
    <t>Schéma prêt pour mapping technique. Aucun booléen de publication/calcul n'est activé : absence de pièce officielle datée. Les composantes TPE ont un parent et ne doivent pas être comptées deux fois.</t>
  </si>
  <si>
    <t>provider_id</t>
  </si>
  <si>
    <t>provider_name</t>
  </si>
  <si>
    <t>country_code</t>
  </si>
  <si>
    <t>service_id</t>
  </si>
  <si>
    <t>service_family</t>
  </si>
  <si>
    <t>subfamily</t>
  </si>
  <si>
    <t>customer_segment</t>
  </si>
  <si>
    <t>service_name</t>
  </si>
  <si>
    <t>operation_channel</t>
  </si>
  <si>
    <t>entry_kind</t>
  </si>
  <si>
    <t>fee_mode</t>
  </si>
  <si>
    <t>fee_amount_dzd</t>
  </si>
  <si>
    <t>fee_amount_max_dzd</t>
  </si>
  <si>
    <t>fee_rate_max</t>
  </si>
  <si>
    <t>price_period</t>
  </si>
  <si>
    <t>limit_min_dzd</t>
  </si>
  <si>
    <t>limit_max_dzd</t>
  </si>
  <si>
    <t>limit_period</t>
  </si>
  <si>
    <t>complaint_delay_days</t>
  </si>
  <si>
    <t>complaint_delay_months</t>
  </si>
  <si>
    <t>calculation_rule_id</t>
  </si>
  <si>
    <t>parent_fee_id</t>
  </si>
  <si>
    <t>raw_tariff_text</t>
  </si>
  <si>
    <t>raw_conditions</t>
  </si>
  <si>
    <t>source_section</t>
  </si>
  <si>
    <t>source_proof_url</t>
  </si>
  <si>
    <t>valid_from</t>
  </si>
  <si>
    <t>checked_at</t>
  </si>
  <si>
    <t>verification_status</t>
  </si>
  <si>
    <t>publishable</t>
  </si>
  <si>
    <t>auto_compute</t>
  </si>
  <si>
    <t>review_notes</t>
  </si>
  <si>
    <t>DZ_ALGERIE_POSTE</t>
  </si>
  <si>
    <t>Algérie Poste</t>
  </si>
  <si>
    <t>DZ</t>
  </si>
  <si>
    <t>comptes_et_services_ccp</t>
  </si>
  <si>
    <t>GRATUIT_EXPLICITE</t>
  </si>
  <si>
    <t>UNVERIFIED_USER_SUPPLIED</t>
  </si>
  <si>
    <t>Obtenir document officiel, date et validation avant diffusion</t>
  </si>
  <si>
    <t>NON_CHIFFRÉ</t>
  </si>
  <si>
    <t>cartes_monetique_locale</t>
  </si>
  <si>
    <t>FIXE_DÉCLARÉ</t>
  </si>
  <si>
    <t>NON_TARIFAIRE</t>
  </si>
  <si>
    <t>transfert_recu_international</t>
  </si>
  <si>
    <t>banque_distance</t>
  </si>
  <si>
    <t>BARÈME_VARIABLE_INCOMPLET</t>
  </si>
  <si>
    <t>donnees_referentielles</t>
  </si>
  <si>
    <t>tpe_commercant</t>
  </si>
  <si>
    <t>TAUX_MAX_NON_EXACT</t>
  </si>
  <si>
    <t>services_postaux</t>
  </si>
  <si>
    <t>COMPOSANTE_INCLUSE_NON_ADDITIVE</t>
  </si>
  <si>
    <t>FOURCHETTE_INCOMPLÈTE</t>
  </si>
  <si>
    <t>COÛTS COMPARABLES ET ÉQUIVALENTS ANNUELS</t>
  </si>
  <si>
    <t>Équivalents annuels analytiques lorsque prix fixe et périodicité sont explicites. Aucun ajustement de TVA ou de frais variables n'est ajouté. Les calculs ne prouvent pas la validité des tarifs transmis.</t>
  </si>
  <si>
    <t>ID origine</t>
  </si>
  <si>
    <t>Service</t>
  </si>
  <si>
    <t>Tarif source</t>
  </si>
  <si>
    <t>Montant source DA</t>
  </si>
  <si>
    <t>Fréquence / an</t>
  </si>
  <si>
    <t>Équivalent annuel DA</t>
  </si>
  <si>
    <t>Vérification</t>
  </si>
  <si>
    <t>Note / hypothèse</t>
  </si>
  <si>
    <t>Compte CCP : tenue</t>
  </si>
  <si>
    <t>NON VÉRIFIÉ</t>
  </si>
  <si>
    <t>Gratuité annoncée ; coût fixe annualisé 0</t>
  </si>
  <si>
    <t>Carte EDAHABIA : création ou renouvellement</t>
  </si>
  <si>
    <t>350 DA / 2 ans → 175 DA par an équivalent analytique ; tarif réellement facturé = 350 DA</t>
  </si>
  <si>
    <t>30 DA par retrait ; le coût annuel dépend du nombre de retraits</t>
  </si>
  <si>
    <t>Retrait GAB banque</t>
  </si>
  <si>
    <t>35 DA par retrait ; le coût annuel dépend du nombre de retraits</t>
  </si>
  <si>
    <t>TPE mobile : abonnement complet</t>
  </si>
  <si>
    <t>800 DA HT / mois, hors commission sur transactions</t>
  </si>
  <si>
    <t>TPE : commission variable</t>
  </si>
  <si>
    <t>Jusqu'à 1,5 % ; non calculable précisément sans barème</t>
  </si>
  <si>
    <t>Abonnement boîte postale physique</t>
  </si>
  <si>
    <t>Loyer annuel</t>
  </si>
  <si>
    <t>Entreprise</t>
  </si>
  <si>
    <t>Abonnement boîte postale morale</t>
  </si>
  <si>
    <t>BaridiMob : adhésion</t>
  </si>
  <si>
    <t>Ponctuel ; ne pas comptabiliser comme récurrence</t>
  </si>
  <si>
    <t>BaridiMob : virement</t>
  </si>
  <si>
    <t>12 à 24 DA selon tranche ; pas de tarif unique</t>
  </si>
  <si>
    <t>BaridiMob : abonnement</t>
  </si>
  <si>
    <t>50 DA / mois si actif</t>
  </si>
  <si>
    <t>Poste restante : journal</t>
  </si>
  <si>
    <t>30 DA selon opération ; unité de facturation à confirmer</t>
  </si>
  <si>
    <t>Poste restante : abonnement</t>
  </si>
  <si>
    <t>2 000 DA par an</t>
  </si>
  <si>
    <t>DICTIONNAIRE TECHNIQUE DE DONNÉES — FINCLUDIA</t>
  </si>
  <si>
    <t>Champs normalisés de l'onglet 12. Conventions : nombre décimal, champ absent = cellule vide, ID stable, source et date obligatoires pour publication.</t>
  </si>
  <si>
    <t>Champ</t>
  </si>
  <si>
    <t>Exemple</t>
  </si>
  <si>
    <t>Usage</t>
  </si>
  <si>
    <t>Contrôle d'intégrité</t>
  </si>
  <si>
    <t>String</t>
  </si>
  <si>
    <t>Identifiant stable de l'organisme</t>
  </si>
  <si>
    <t>Toujours identique</t>
  </si>
  <si>
    <t>Identifiant stable unique de la condition</t>
  </si>
  <si>
    <t>Ne pas réutiliser</t>
  </si>
  <si>
    <t>Enum</t>
  </si>
  <si>
    <t>Famille comparable FINCLUDIA</t>
  </si>
  <si>
    <t>Mapping évolutif</t>
  </si>
  <si>
    <t>Sous-famille fonctionnelle</t>
  </si>
  <si>
    <t>Séparer produit / opération</t>
  </si>
  <si>
    <t>Particulier, commerçant, société ou tous publics</t>
  </si>
  <si>
    <t>Ne pas inventer de profil</t>
  </si>
  <si>
    <t>GAB / Guichet / TPE</t>
  </si>
  <si>
    <t>Canal d'exécution</t>
  </si>
  <si>
    <t>Une opération peut dépendre du canal</t>
  </si>
  <si>
    <t>TARIF / PLAFOND / DÉLAI / PROCÉDURE</t>
  </si>
  <si>
    <t>Nature de l'information</t>
  </si>
  <si>
    <t>Ne pas assimiler plafond à prix</t>
  </si>
  <si>
    <t>Mode de calcul du frais</t>
  </si>
  <si>
    <t>Barème incomplet =&gt; aucun calcul</t>
  </si>
  <si>
    <t>Decimal</t>
  </si>
  <si>
    <t>350</t>
  </si>
  <si>
    <t>Montant fixe déclaré</t>
  </si>
  <si>
    <t>Null si non renseigné</t>
  </si>
  <si>
    <t>24</t>
  </si>
  <si>
    <t>Borne haute d'une fourchette</t>
  </si>
  <si>
    <t>Non assimilé au tarif exact</t>
  </si>
  <si>
    <t>0.015</t>
  </si>
  <si>
    <t>Taux plafond 1,50 % (décimal)</t>
  </si>
  <si>
    <t>Ne pas traiter comme taux appliqué</t>
  </si>
  <si>
    <t>Cycle de facturation</t>
  </si>
  <si>
    <t>Ne pas confondre avec durée de validité</t>
  </si>
  <si>
    <t>1000</t>
  </si>
  <si>
    <t>Plancher d'opération</t>
  </si>
  <si>
    <t>Distinct des frais</t>
  </si>
  <si>
    <t>50000</t>
  </si>
  <si>
    <t>Plafond d'opération</t>
  </si>
  <si>
    <t>Quotidien ≠ par transaction</t>
  </si>
  <si>
    <t>Int</t>
  </si>
  <si>
    <t>98</t>
  </si>
  <si>
    <t>Recevabilité en jours</t>
  </si>
  <si>
    <t>Préserver l'unité du texte</t>
  </si>
  <si>
    <t>6</t>
  </si>
  <si>
    <t>Recevabilité en mois calendaires</t>
  </si>
  <si>
    <t>Éviter conversion en jours fixes</t>
  </si>
  <si>
    <t>Identifiant de barème complexe</t>
  </si>
  <si>
    <t>Bloquer avant preuve du calcul</t>
  </si>
  <si>
    <t>Forfait parent de composante</t>
  </si>
  <si>
    <t>Empêche double comptage 800+300+300+200</t>
  </si>
  <si>
    <t>7, 8, 9</t>
  </si>
  <si>
    <t>Section du texte utilisateur</t>
  </si>
  <si>
    <t>Conserver référence source</t>
  </si>
  <si>
    <t>URL</t>
  </si>
  <si>
    <t>(vide)</t>
  </si>
  <si>
    <t>Lien exact vers preuve officielle</t>
  </si>
  <si>
    <t>Non fourni, vide volontairement</t>
  </si>
  <si>
    <t>Date</t>
  </si>
  <si>
    <t>Date d'effet tarif</t>
  </si>
  <si>
    <t>Non fournie</t>
  </si>
  <si>
    <t>Date de vérification officielle</t>
  </si>
  <si>
    <t>Non vérifié</t>
  </si>
  <si>
    <t>État de la preuve</t>
  </si>
  <si>
    <t>Jamais VALIDATED sans preuve</t>
  </si>
  <si>
    <t>Boolean</t>
  </si>
  <si>
    <t>FALSE</t>
  </si>
  <si>
    <t>Affichage public des tarifs</t>
  </si>
  <si>
    <t>Validation préalable</t>
  </si>
  <si>
    <t>Calcul automatique d'un tarif</t>
  </si>
  <si>
    <t>Conditions de calcul suffisantes</t>
  </si>
  <si>
    <t>SOURCES, DATES ET TRAÇABILITÉ DES DONNÉES</t>
  </si>
  <si>
    <t>Les trois sections ont été fournies directement dans le message utilisateur. Aucune date d'application ni document officiel tarifaire n'accompagne le texte ; le lien poste.dz cité n'a pas servi à vérifier les prix.</t>
  </si>
  <si>
    <t>ID source</t>
  </si>
  <si>
    <t>Bloc transmis</t>
  </si>
  <si>
    <t>Localisation / lien</t>
  </si>
  <si>
    <t>Nature de la preuve</t>
  </si>
  <si>
    <t>Périmètre de la source</t>
  </si>
  <si>
    <t>SRC-001</t>
  </si>
  <si>
    <t>Section 7 — Services financiers (CCP)</t>
  </si>
  <si>
    <t>Texte communiqué dans cette conversation</t>
  </si>
  <si>
    <t>Informations utilisateur, sans brochure officielle jointe</t>
  </si>
  <si>
    <t>Frais et procédures CCP, Western Union entrant, comptes, épargne</t>
  </si>
  <si>
    <t>SRC-002</t>
  </si>
  <si>
    <t>Section 8 — Services monétiques (EDAHABIA)</t>
  </si>
  <si>
    <t>Carte, GAB, TPE, e-paiement, réclamations, RIP/NIP</t>
  </si>
  <si>
    <t>SRC-003</t>
  </si>
  <si>
    <t>Section 9 — Réseau postal</t>
  </si>
  <si>
    <t>Boîtes postales, TPE, BaridiMob, courrier, philatélie</t>
  </si>
  <si>
    <t>SRC-004</t>
  </si>
  <si>
    <t>Site d'Algérie Poste cité dans texte</t>
  </si>
  <si>
    <t>https://www.poste.dz/</t>
  </si>
  <si>
    <t>URL de consultation uniquement, pas de tarif extrait directement du site</t>
  </si>
  <si>
    <t>Le site est indiqué pour les codes postaux ; aucun contrôle externe réalisé</t>
  </si>
  <si>
    <t>ALGÉRIE POSTE / CCP — SOCLE SPÉCIAL FINCLUDIA</t>
  </si>
  <si>
    <t>Base de données thématique extraite exclusivement du texte transmis ; à valider auprès d'Algérie Poste avant diffusion publique. Distinction obligatoire : tarif ≠ plafond ≠ délai ≠ procédure.</t>
  </si>
  <si>
    <t>Indicateur</t>
  </si>
  <si>
    <t>Résultat</t>
  </si>
  <si>
    <t>Méthode</t>
  </si>
  <si>
    <t>Statut source</t>
  </si>
  <si>
    <t>Services / règles uniques</t>
  </si>
  <si>
    <t>Nombre de lignes dans le référentiel</t>
  </si>
  <si>
    <t>Texte utilisateur</t>
  </si>
  <si>
    <t>Lignes tarifaires</t>
  </si>
  <si>
    <t>Nature de l'information = TARIF</t>
  </si>
  <si>
    <t>Plafonds d'opérations</t>
  </si>
  <si>
    <t>Nature = PLAFOND</t>
  </si>
  <si>
    <t>Délais de réclamation</t>
  </si>
  <si>
    <t>Nature = DÉLAI</t>
  </si>
  <si>
    <t>Lignes gratuites annoncées</t>
  </si>
  <si>
    <t>Libellé commence par Gratuit</t>
  </si>
  <si>
    <t>Contrôles documentaires requis</t>
  </si>
  <si>
    <t>Registre de vérification</t>
  </si>
  <si>
    <t>Ouverts</t>
  </si>
  <si>
    <t>Nb fiches</t>
  </si>
  <si>
    <t>Type de comparateur</t>
  </si>
  <si>
    <t>Public principal</t>
  </si>
  <si>
    <t>Comptes, caisse, virements, épargne</t>
  </si>
  <si>
    <t>Carte locale, paiements, retraits</t>
  </si>
  <si>
    <t>TPE et e-encaissement</t>
  </si>
  <si>
    <t>BaridiMob, E-CCP</t>
  </si>
  <si>
    <t>Postaux complémentaires</t>
  </si>
  <si>
    <t>Documents / pédagogie</t>
  </si>
  <si>
    <t>Paiement WU entrant en DZD</t>
  </si>
  <si>
    <t>Feuille</t>
  </si>
  <si>
    <t>Utilité</t>
  </si>
  <si>
    <t>Unité / public</t>
  </si>
  <si>
    <t>Précaution de lecture</t>
  </si>
  <si>
    <t>01_Referentiel_Unique</t>
  </si>
  <si>
    <t>75 fiches uniques — base canonique</t>
  </si>
  <si>
    <t>Tarif/plafond/procédure distincts</t>
  </si>
  <si>
    <t>02_CCP_Comptes</t>
  </si>
  <si>
    <t>Comptes, guichets, chèques, virements, épargne</t>
  </si>
  <si>
    <t>Comparer seulement les services réellement documentés</t>
  </si>
  <si>
    <t>03_EDAHABIA</t>
  </si>
  <si>
    <t>Carte locale, DAB/GAB, litiges</t>
  </si>
  <si>
    <t>La durée 2 ans nécessite une preuve</t>
  </si>
  <si>
    <t>04_TPE_Commercants</t>
  </si>
  <si>
    <t>Abonnement et commissions commerçants</t>
  </si>
  <si>
    <t>Pro / Entreprise</t>
  </si>
  <si>
    <t>Ne pas compter deux fois les trois composantes</t>
  </si>
  <si>
    <t>05_Reseau_Postal</t>
  </si>
  <si>
    <t>Boîtes postales et courrier</t>
  </si>
  <si>
    <t>Hors comparateur des comptes bancaires</t>
  </si>
  <si>
    <t>06_BaridiMob_ECCP</t>
  </si>
  <si>
    <t>Services numériques, virements</t>
  </si>
  <si>
    <t>Tranches de virement à documenter</t>
  </si>
  <si>
    <t>07_Identifiants_WU</t>
  </si>
  <si>
    <t>RIP/NIP, Western Union entrant</t>
  </si>
  <si>
    <t>WU ne signifie pas virement sortant CCP</t>
  </si>
  <si>
    <t>08_Plafonds_Delais</t>
  </si>
  <si>
    <t>Minima, maxima, délais de recours</t>
  </si>
  <si>
    <t>Les délais ne sont pas des frais</t>
  </si>
  <si>
    <t>09_Bareme_PINPAD</t>
  </si>
  <si>
    <t>Tranches source du PIN PAD</t>
  </si>
  <si>
    <t>Calcul automatique bloqué</t>
  </si>
  <si>
    <t>10_Matrice_FINCLUDIA</t>
  </si>
  <si>
    <t>Couverture des rubriques du comparateur</t>
  </si>
  <si>
    <t>Produit / technique</t>
  </si>
  <si>
    <t>Catégories non documentées séparées</t>
  </si>
  <si>
    <t>11_Controle_Validation</t>
  </si>
  <si>
    <t>16 contrôles pré-publication</t>
  </si>
  <si>
    <t>Équipe métier</t>
  </si>
  <si>
    <t>Aucune validation officielle effectuée</t>
  </si>
  <si>
    <t>12_Import_FINCLUDIA</t>
  </si>
  <si>
    <t>Champs normalisés pour intégration</t>
  </si>
  <si>
    <t>Développeurs</t>
  </si>
  <si>
    <t>publishable = FALSE sur toutes les lignes</t>
  </si>
  <si>
    <t>13_Couts_Annualises</t>
  </si>
  <si>
    <t>Coûts récurrents normalisés</t>
  </si>
  <si>
    <t>Pro/Particulier</t>
  </si>
  <si>
    <t>Équivalent annuel ≠ montant facturé</t>
  </si>
  <si>
    <t>14_Dictionnaire_API</t>
  </si>
  <si>
    <t>Schéma de l'export</t>
  </si>
  <si>
    <t>Champ manquant = cellule vide</t>
  </si>
  <si>
    <t>15_Sources_Provenance</t>
  </si>
  <si>
    <t>Source, date, fiabilité</t>
  </si>
  <si>
    <t>Métier / conformité</t>
  </si>
  <si>
    <t>Texte utilisateur uniquement</t>
  </si>
  <si>
    <t>Règle FINCLUDIA : ne publier que les conditions dont la source officielle, la date d'effet et la preuve de validation sont disponibles. Ne jamais remplacer « non documenté » par « gratuit » ou « produit inexistant ».</t>
  </si>
  <si>
    <t>Colonne1</t>
  </si>
  <si>
    <t>Colonne2</t>
  </si>
  <si>
    <t>Colonne3</t>
  </si>
  <si>
    <t>Colonne4</t>
  </si>
  <si>
    <t xml:space="preserve">Validité annoncée 4 ans ; renouvellement automatique 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</si>
</sst>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5"/>
      <color rgb="FFFFFFFF"/>
      <name val="Carlito"/>
    </font>
    <font>
      <i/>
      <sz val="11"/>
      <color rgb="FF263748"/>
      <name val="Carlito"/>
    </font>
    <font>
      <b/>
      <sz val="10"/>
      <color rgb="FFFFFFFF"/>
      <name val="Carlito"/>
    </font>
    <font>
      <sz val="10"/>
      <color rgb="FF263748"/>
      <name val="Carlito"/>
    </font>
    <font>
      <b/>
      <sz val="15"/>
      <color rgb="FF096C5F"/>
      <name val="Carlito"/>
    </font>
    <font>
      <b/>
      <sz val="11"/>
      <color rgb="FF7658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6"/>
      </patternFill>
    </fill>
    <fill>
      <patternFill patternType="solid">
        <fgColor rgb="FF24577B"/>
      </patternFill>
    </fill>
    <fill>
      <patternFill patternType="solid">
        <fgColor rgb="FFE5F5F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10" fontId="4" fillId="0" borderId="0" xfId="0" applyNumberFormat="1" applyFont="1" applyFill="1" applyBorder="1" applyAlignment="1">
      <alignment vertical="top" wrapText="1"/>
    </xf>
    <xf numFmtId="4" fontId="4" fillId="0" borderId="0" xfId="0" applyNumberFormat="1" applyFont="1" applyFill="1" applyBorder="1" applyAlignment="1">
      <alignment vertical="top" wrapText="1"/>
    </xf>
    <xf numFmtId="3" fontId="4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5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6" fillId="6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7A5300"/>
      </font>
      <fill>
        <patternFill patternType="solid">
          <bgColor rgb="FFFFF3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eda1fe71d7764b8e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APCatalogue" displayName="APCatalogue" ref="A4:Z79" totalsRowShown="0">
  <tableColumns count="26">
    <tableColumn id="1" name="ID stable"/>
    <tableColumn id="2" name="Famille"/>
    <tableColumn id="3" name="Sous-catégorie"/>
    <tableColumn id="4" name="Service / opération"/>
    <tableColumn id="5" name="Public"/>
    <tableColumn id="6" name="Canal"/>
    <tableColumn id="7" name="Nature information"/>
    <tableColumn id="8" name="Tarif ou donnée (texte)"/>
    <tableColumn id="9" name="Montant fixe DA"/>
    <tableColumn id="10" name="Montant max DA"/>
    <tableColumn id="11" name="Taux maximum"/>
    <tableColumn id="12" name="Périodicité"/>
    <tableColumn id="13" name="Plancher opération DA"/>
    <tableColumn id="14" name="Plafond opération DA"/>
    <tableColumn id="15" name="Période du plafond"/>
    <tableColumn id="16" name="Délai réclamation jours"/>
    <tableColumn id="17" name="Délai réclamation mois"/>
    <tableColumn id="18" name="Conditions / procédure"/>
    <tableColumn id="19" name="Payeur"/>
    <tableColumn id="20" name="Section d'origine"/>
    <tableColumn id="21" name="Doublon fusionné"/>
    <tableColumn id="22" name="Point à confirmer"/>
    <tableColumn id="23" name="Colonne1"/>
    <tableColumn id="24" name="Colonne2"/>
    <tableColumn id="25" name="Colonne3"/>
    <tableColumn id="26" name="Colonne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2CCPComptes" displayName="T_02CCPComptes" ref="A4:N22" totalsRowShown="0">
  <tableColumns count="14">
    <tableColumn id="1" name="ID"/>
    <tableColumn id="2" name="Sous-catégorie"/>
    <tableColumn id="3" name="Service / information"/>
    <tableColumn id="4" name="Public"/>
    <tableColumn id="5" name="Canal"/>
    <tableColumn id="6" name="Tarif annoncé"/>
    <tableColumn id="7" name="Montant DA"/>
    <tableColumn id="8" name="Max DA"/>
    <tableColumn id="9" name="% max"/>
    <tableColumn id="10" name="Fréquence"/>
    <tableColumn id="11" name="Conditions / procédure"/>
    <tableColumn id="12" name="Section"/>
    <tableColumn id="13" name="Vérification nécessaire"/>
    <tableColumn id="14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3EDAHABIA" displayName="T_03EDAHABIA" ref="A4:N29" totalsRowShown="0">
  <tableColumns count="14">
    <tableColumn id="1" name="ID"/>
    <tableColumn id="2" name="Sous-catégorie"/>
    <tableColumn id="3" name="Service / information"/>
    <tableColumn id="4" name="Public"/>
    <tableColumn id="5" name="Canal"/>
    <tableColumn id="6" name="Tarif annoncé"/>
    <tableColumn id="7" name="Montant DA"/>
    <tableColumn id="8" name="Max DA"/>
    <tableColumn id="9" name="% max"/>
    <tableColumn id="10" name="Fréquence"/>
    <tableColumn id="11" name="Conditions / procédure"/>
    <tableColumn id="12" name="Section"/>
    <tableColumn id="13" name="Vérification nécessaire"/>
    <tableColumn id="14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4TPECommercants" displayName="T_04TPECommercants" ref="A4:N12" totalsRowShown="0">
  <tableColumns count="14">
    <tableColumn id="1" name="ID"/>
    <tableColumn id="2" name="Sous-catégorie"/>
    <tableColumn id="3" name="Service / information"/>
    <tableColumn id="4" name="Public"/>
    <tableColumn id="5" name="Canal"/>
    <tableColumn id="6" name="Tarif annoncé"/>
    <tableColumn id="7" name="Montant DA"/>
    <tableColumn id="8" name="Max DA"/>
    <tableColumn id="9" name="% max"/>
    <tableColumn id="10" name="Fréquence"/>
    <tableColumn id="11" name="Conditions / procédure"/>
    <tableColumn id="12" name="Section"/>
    <tableColumn id="13" name="Vérification nécessaire"/>
    <tableColumn id="14" name="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5ReseauPostal" displayName="T_05ReseauPostal" ref="A4:N18" totalsRowShown="0">
  <tableColumns count="14">
    <tableColumn id="1" name="ID"/>
    <tableColumn id="2" name="Sous-catégorie"/>
    <tableColumn id="3" name="Service / information"/>
    <tableColumn id="4" name="Public"/>
    <tableColumn id="5" name="Canal"/>
    <tableColumn id="6" name="Tarif annoncé"/>
    <tableColumn id="7" name="Montant DA"/>
    <tableColumn id="8" name="Max DA"/>
    <tableColumn id="9" name="% max"/>
    <tableColumn id="10" name="Fréquence"/>
    <tableColumn id="11" name="Conditions / procédure"/>
    <tableColumn id="12" name="Section"/>
    <tableColumn id="13" name="Vérification nécessaire"/>
    <tableColumn id="14" name="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6BaridiMobECCP" displayName="T_06BaridiMobECCP" ref="A4:N9" totalsRowShown="0">
  <tableColumns count="14">
    <tableColumn id="1" name="ID"/>
    <tableColumn id="2" name="Sous-catégorie"/>
    <tableColumn id="3" name="Service / information"/>
    <tableColumn id="4" name="Public"/>
    <tableColumn id="5" name="Canal"/>
    <tableColumn id="6" name="Tarif annoncé"/>
    <tableColumn id="7" name="Montant DA"/>
    <tableColumn id="8" name="Max DA"/>
    <tableColumn id="9" name="% max"/>
    <tableColumn id="10" name="Fréquence"/>
    <tableColumn id="11" name="Conditions / procédure"/>
    <tableColumn id="12" name="Section"/>
    <tableColumn id="13" name="Vérification nécessaire"/>
    <tableColumn id="14" name="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PIdentifiantsWU" displayName="APIdentifiantsWU" ref="A4:J9" totalsRowShown="0">
  <tableColumns count="10">
    <tableColumn id="1" name="ID"/>
    <tableColumn id="2" name="Famille"/>
    <tableColumn id="3" name="Objet"/>
    <tableColumn id="4" name="Service / information"/>
    <tableColumn id="5" name="Public"/>
    <tableColumn id="6" name="Tarif"/>
    <tableColumn id="7" name="Description source"/>
    <tableColumn id="8" name="Point de contrôle"/>
    <tableColumn id="9" name="Section"/>
    <tableColumn id="10" name="Natu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PLimits" displayName="APLimits" ref="A4:L15" totalsRowShown="0">
  <tableColumns count="12">
    <tableColumn id="1" name="ID"/>
    <tableColumn id="2" name="Famille"/>
    <tableColumn id="3" name="Opération"/>
    <tableColumn id="4" name="Public"/>
    <tableColumn id="5" name="Min opération DA"/>
    <tableColumn id="6" name="Max opération DA"/>
    <tableColumn id="7" name="Base limite"/>
    <tableColumn id="8" name="Réclamation jours"/>
    <tableColumn id="9" name="Réclamation mois"/>
    <tableColumn id="10" name="Texte source"/>
    <tableColumn id="11" name="Conditions"/>
    <tableColumn id="12" name="À vérifi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PBaremePINPAD" displayName="APBaremePINPAD" ref="A4:H8" totalsRowShown="0">
  <tableColumns count="8">
    <tableColumn id="1" name="Code barème"/>
    <tableColumn id="2" name="Composant"/>
    <tableColumn id="3" name="Seuil début DA"/>
    <tableColumn id="4" name="Seuil fin DA"/>
    <tableColumn id="5" name="Valeur"/>
    <tableColumn id="6" name="Unité"/>
    <tableColumn id="7" name="Texte de la règle"/>
    <tableColumn id="8" name="Statut calcu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PMatrix" displayName="APMatrix" ref="A4:F19" totalsRowShown="0">
  <tableColumns count="6">
    <tableColumn id="1" name="Famille FINCLUDIA"/>
    <tableColumn id="2" name="Public cible"/>
    <tableColumn id="3" name="Couverture dans texte"/>
    <tableColumn id="4" name="Synthèse / type de donnée"/>
    <tableColumn id="5" name="Références catalogue"/>
    <tableColumn id="6" name="Précaution d'intégr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PQuality" displayName="APQuality" ref="A4:E20" totalsRowShown="0">
  <tableColumns count="5">
    <tableColumn id="1" name="ID contrôle"/>
    <tableColumn id="3" name="Service / ID"/>
    <tableColumn id="4" name="Limite ou anomalie"/>
    <tableColumn id="5" name="Preuve attendue"/>
    <tableColumn id="6" name="Impact produi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PImportSchema" displayName="APImportSchema" ref="A4:AF79" totalsRowShown="0">
  <tableColumns count="32">
    <tableColumn id="1" name="provider_id"/>
    <tableColumn id="2" name="provider_name"/>
    <tableColumn id="3" name="country_code"/>
    <tableColumn id="4" name="service_id"/>
    <tableColumn id="5" name="service_family"/>
    <tableColumn id="6" name="subfamily"/>
    <tableColumn id="7" name="customer_segment"/>
    <tableColumn id="8" name="service_name"/>
    <tableColumn id="9" name="operation_channel"/>
    <tableColumn id="10" name="entry_kind"/>
    <tableColumn id="11" name="fee_mode"/>
    <tableColumn id="12" name="fee_amount_dzd"/>
    <tableColumn id="13" name="fee_amount_max_dzd"/>
    <tableColumn id="14" name="fee_rate_max"/>
    <tableColumn id="15" name="price_period"/>
    <tableColumn id="16" name="limit_min_dzd"/>
    <tableColumn id="17" name="limit_max_dzd"/>
    <tableColumn id="18" name="limit_period"/>
    <tableColumn id="19" name="complaint_delay_days"/>
    <tableColumn id="20" name="complaint_delay_months"/>
    <tableColumn id="21" name="calculation_rule_id"/>
    <tableColumn id="22" name="parent_fee_id"/>
    <tableColumn id="23" name="raw_tariff_text"/>
    <tableColumn id="24" name="raw_conditions"/>
    <tableColumn id="25" name="source_section"/>
    <tableColumn id="26" name="source_proof_url"/>
    <tableColumn id="27" name="valid_from"/>
    <tableColumn id="28" name="checked_at"/>
    <tableColumn id="29" name="verification_status"/>
    <tableColumn id="30" name="publishable"/>
    <tableColumn id="31" name="auto_compute"/>
    <tableColumn id="32" name="review_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PAnnualized" displayName="APAnnualized" ref="A4:J17" totalsRowShown="0">
  <tableColumns count="10">
    <tableColumn id="1" name="ID origine"/>
    <tableColumn id="2" name="Public"/>
    <tableColumn id="3" name="Service"/>
    <tableColumn id="4" name="Tarif source"/>
    <tableColumn id="5" name="Montant source DA"/>
    <tableColumn id="6" name="Fréquence / an"/>
    <tableColumn id="7" name="Équivalent annuel DA"/>
    <tableColumn id="8" name="Payeur"/>
    <tableColumn id="9" name="Vérification"/>
    <tableColumn id="10" name="Note / hypothès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APDataDictionary" displayName="APDataDictionary" ref="A4:E30" totalsRowShown="0">
  <tableColumns count="5">
    <tableColumn id="1" name="Champ"/>
    <tableColumn id="2" name="Type"/>
    <tableColumn id="3" name="Exemple"/>
    <tableColumn id="4" name="Usage"/>
    <tableColumn id="5" name="Contrôle d'intégrité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APProvenance" displayName="APProvenance" ref="A4:E8" totalsRowShown="0">
  <tableColumns count="5">
    <tableColumn id="1" name="ID source"/>
    <tableColumn id="2" name="Bloc transmis"/>
    <tableColumn id="3" name="Localisation / lien"/>
    <tableColumn id="4" name="Nature de la preuve"/>
    <tableColumn id="8" name="Périmètre de la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workbookViewId="0">
      <pane ySplit="4" topLeftCell="A5" activePane="bottomLeft" state="frozen"/>
      <selection pane="bottomLeft" activeCell="A4" sqref="A4"/>
    </sheetView>
  </sheetViews>
  <sheetFormatPr baseColWidth="10" defaultColWidth="8.796875" defaultRowHeight="13.8"/>
  <cols>
    <col min="1" max="1" width="13" customWidth="1"/>
    <col min="2" max="2" width="27" customWidth="1"/>
    <col min="3" max="3" width="26" customWidth="1"/>
    <col min="4" max="4" width="43" customWidth="1"/>
    <col min="5" max="5" width="25" customWidth="1"/>
    <col min="6" max="6" width="27" customWidth="1"/>
    <col min="7" max="7" width="22" customWidth="1"/>
    <col min="8" max="8" width="34" customWidth="1"/>
    <col min="9" max="10" width="18" customWidth="1"/>
    <col min="11" max="11" width="17" customWidth="1"/>
    <col min="12" max="12" width="27" customWidth="1"/>
    <col min="13" max="16" width="22" customWidth="1"/>
    <col min="17" max="17" width="20" customWidth="1"/>
    <col min="18" max="18" width="65" customWidth="1"/>
    <col min="19" max="20" width="19" customWidth="1"/>
    <col min="21" max="21" width="23" customWidth="1"/>
    <col min="22" max="22" width="57" customWidth="1"/>
    <col min="23" max="23" width="35" customWidth="1"/>
    <col min="24" max="24" width="18" customWidth="1"/>
    <col min="25" max="25" width="20" customWidth="1"/>
    <col min="26" max="26" width="38" customWidth="1"/>
  </cols>
  <sheetData>
    <row r="1" spans="1:26" ht="31.9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42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4" spans="1:26" ht="37.049999999999997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928</v>
      </c>
      <c r="X4" s="1" t="s">
        <v>929</v>
      </c>
      <c r="Y4" s="1" t="s">
        <v>930</v>
      </c>
      <c r="Z4" s="1" t="s">
        <v>931</v>
      </c>
    </row>
    <row r="5" spans="1:26" ht="40.950000000000003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4">
        <v>0</v>
      </c>
      <c r="J5" s="4"/>
      <c r="K5" s="3"/>
      <c r="L5" s="2" t="s">
        <v>32</v>
      </c>
      <c r="M5" s="5"/>
      <c r="N5" s="5"/>
      <c r="O5" s="2"/>
      <c r="P5" s="2"/>
      <c r="Q5" s="2"/>
      <c r="R5" s="2" t="s">
        <v>33</v>
      </c>
      <c r="S5" s="2" t="s">
        <v>34</v>
      </c>
      <c r="T5" s="2" t="s">
        <v>35</v>
      </c>
      <c r="U5" s="2"/>
      <c r="V5" s="2" t="s">
        <v>36</v>
      </c>
      <c r="W5" s="2"/>
      <c r="X5" s="2"/>
      <c r="Y5" s="2"/>
      <c r="Z5" s="2"/>
    </row>
    <row r="6" spans="1:26" ht="40.950000000000003" customHeight="1">
      <c r="A6" s="2" t="s">
        <v>37</v>
      </c>
      <c r="B6" s="2" t="s">
        <v>25</v>
      </c>
      <c r="C6" s="2" t="s">
        <v>26</v>
      </c>
      <c r="D6" s="2" t="s">
        <v>38</v>
      </c>
      <c r="E6" s="2" t="s">
        <v>28</v>
      </c>
      <c r="F6" s="2" t="s">
        <v>39</v>
      </c>
      <c r="G6" s="2" t="s">
        <v>30</v>
      </c>
      <c r="H6" s="2" t="s">
        <v>31</v>
      </c>
      <c r="I6" s="4">
        <v>0</v>
      </c>
      <c r="J6" s="4"/>
      <c r="K6" s="3"/>
      <c r="L6" s="2" t="s">
        <v>40</v>
      </c>
      <c r="M6" s="5"/>
      <c r="N6" s="5"/>
      <c r="O6" s="2"/>
      <c r="P6" s="2"/>
      <c r="Q6" s="2"/>
      <c r="R6" s="2"/>
      <c r="S6" s="2" t="s">
        <v>34</v>
      </c>
      <c r="T6" s="2" t="s">
        <v>35</v>
      </c>
      <c r="U6" s="2"/>
      <c r="V6" s="2" t="s">
        <v>41</v>
      </c>
      <c r="W6" s="2"/>
      <c r="X6" s="2"/>
      <c r="Y6" s="2"/>
      <c r="Z6" s="2"/>
    </row>
    <row r="7" spans="1:26" ht="40.950000000000003" customHeight="1">
      <c r="A7" s="2" t="s">
        <v>42</v>
      </c>
      <c r="B7" s="2" t="s">
        <v>25</v>
      </c>
      <c r="C7" s="2" t="s">
        <v>43</v>
      </c>
      <c r="D7" s="2" t="s">
        <v>44</v>
      </c>
      <c r="E7" s="2" t="s">
        <v>28</v>
      </c>
      <c r="F7" s="2" t="s">
        <v>29</v>
      </c>
      <c r="G7" s="2" t="s">
        <v>30</v>
      </c>
      <c r="H7" s="2" t="s">
        <v>31</v>
      </c>
      <c r="I7" s="4">
        <v>0</v>
      </c>
      <c r="J7" s="4"/>
      <c r="K7" s="3"/>
      <c r="L7" s="2" t="s">
        <v>45</v>
      </c>
      <c r="M7" s="5"/>
      <c r="N7" s="5"/>
      <c r="O7" s="2"/>
      <c r="P7" s="2"/>
      <c r="Q7" s="2"/>
      <c r="R7" s="2" t="s">
        <v>46</v>
      </c>
      <c r="S7" s="2" t="s">
        <v>34</v>
      </c>
      <c r="T7" s="2" t="s">
        <v>35</v>
      </c>
      <c r="U7" s="2"/>
      <c r="V7" s="2"/>
      <c r="W7" s="2"/>
      <c r="X7" s="2"/>
      <c r="Y7" s="2"/>
      <c r="Z7" s="2"/>
    </row>
    <row r="8" spans="1:26" ht="40.950000000000003" customHeight="1">
      <c r="A8" s="2" t="s">
        <v>47</v>
      </c>
      <c r="B8" s="2" t="s">
        <v>25</v>
      </c>
      <c r="C8" s="2" t="s">
        <v>43</v>
      </c>
      <c r="D8" s="2" t="s">
        <v>48</v>
      </c>
      <c r="E8" s="2" t="s">
        <v>28</v>
      </c>
      <c r="F8" s="2" t="s">
        <v>29</v>
      </c>
      <c r="G8" s="2" t="s">
        <v>30</v>
      </c>
      <c r="H8" s="2" t="s">
        <v>31</v>
      </c>
      <c r="I8" s="4">
        <v>0</v>
      </c>
      <c r="J8" s="4"/>
      <c r="K8" s="3"/>
      <c r="L8" s="2" t="s">
        <v>45</v>
      </c>
      <c r="M8" s="5"/>
      <c r="N8" s="5"/>
      <c r="O8" s="2"/>
      <c r="P8" s="2"/>
      <c r="Q8" s="2"/>
      <c r="R8" s="2" t="s">
        <v>46</v>
      </c>
      <c r="S8" s="2" t="s">
        <v>34</v>
      </c>
      <c r="T8" s="2" t="s">
        <v>35</v>
      </c>
      <c r="U8" s="2"/>
      <c r="V8" s="2"/>
      <c r="W8" s="2"/>
      <c r="X8" s="2"/>
      <c r="Y8" s="2"/>
      <c r="Z8" s="2"/>
    </row>
    <row r="9" spans="1:26" ht="40.950000000000003" customHeight="1">
      <c r="A9" s="2" t="s">
        <v>49</v>
      </c>
      <c r="B9" s="2" t="s">
        <v>25</v>
      </c>
      <c r="C9" s="2" t="s">
        <v>50</v>
      </c>
      <c r="D9" s="2" t="s">
        <v>51</v>
      </c>
      <c r="E9" s="2" t="s">
        <v>28</v>
      </c>
      <c r="F9" s="2" t="s">
        <v>52</v>
      </c>
      <c r="G9" s="2" t="s">
        <v>30</v>
      </c>
      <c r="H9" s="2" t="s">
        <v>53</v>
      </c>
      <c r="I9" s="4"/>
      <c r="J9" s="4"/>
      <c r="K9" s="3"/>
      <c r="L9" s="2"/>
      <c r="M9" s="5"/>
      <c r="N9" s="5"/>
      <c r="O9" s="2"/>
      <c r="P9" s="2"/>
      <c r="Q9" s="2"/>
      <c r="R9" s="2" t="s">
        <v>54</v>
      </c>
      <c r="S9" s="2" t="s">
        <v>34</v>
      </c>
      <c r="T9" s="2" t="s">
        <v>35</v>
      </c>
      <c r="U9" s="2"/>
      <c r="V9" s="2" t="s">
        <v>55</v>
      </c>
      <c r="W9" s="2"/>
      <c r="X9" s="2"/>
      <c r="Y9" s="2"/>
      <c r="Z9" s="2"/>
    </row>
    <row r="10" spans="1:26" ht="40.950000000000003" customHeight="1">
      <c r="A10" s="2" t="s">
        <v>56</v>
      </c>
      <c r="B10" s="2" t="s">
        <v>25</v>
      </c>
      <c r="C10" s="2" t="s">
        <v>57</v>
      </c>
      <c r="D10" s="2" t="s">
        <v>58</v>
      </c>
      <c r="E10" s="2" t="s">
        <v>28</v>
      </c>
      <c r="F10" s="2" t="s">
        <v>59</v>
      </c>
      <c r="G10" s="2" t="s">
        <v>30</v>
      </c>
      <c r="H10" s="2" t="s">
        <v>31</v>
      </c>
      <c r="I10" s="4">
        <v>0</v>
      </c>
      <c r="J10" s="4"/>
      <c r="K10" s="3"/>
      <c r="L10" s="2" t="s">
        <v>45</v>
      </c>
      <c r="M10" s="5"/>
      <c r="N10" s="5"/>
      <c r="O10" s="2"/>
      <c r="P10" s="2"/>
      <c r="Q10" s="2"/>
      <c r="R10" s="2" t="s">
        <v>60</v>
      </c>
      <c r="S10" s="2" t="s">
        <v>34</v>
      </c>
      <c r="T10" s="2" t="s">
        <v>35</v>
      </c>
      <c r="U10" s="2"/>
      <c r="V10" s="2" t="s">
        <v>61</v>
      </c>
      <c r="W10" s="2"/>
      <c r="X10" s="2"/>
      <c r="Y10" s="2"/>
      <c r="Z10" s="2"/>
    </row>
    <row r="11" spans="1:26" ht="40.950000000000003" customHeight="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30</v>
      </c>
      <c r="H11" s="2" t="s">
        <v>68</v>
      </c>
      <c r="I11" s="4">
        <v>200</v>
      </c>
      <c r="J11" s="4"/>
      <c r="K11" s="3"/>
      <c r="L11" s="2" t="s">
        <v>69</v>
      </c>
      <c r="M11" s="5"/>
      <c r="N11" s="5"/>
      <c r="O11" s="2"/>
      <c r="P11" s="2"/>
      <c r="Q11" s="2"/>
      <c r="R11" s="2" t="s">
        <v>70</v>
      </c>
      <c r="S11" s="2" t="s">
        <v>34</v>
      </c>
      <c r="T11" s="2" t="s">
        <v>71</v>
      </c>
      <c r="U11" s="2" t="s">
        <v>72</v>
      </c>
      <c r="V11" s="2"/>
      <c r="W11" s="2"/>
      <c r="X11" s="2"/>
      <c r="Y11" s="2"/>
      <c r="Z11" s="2"/>
    </row>
    <row r="12" spans="1:26" ht="40.950000000000003" customHeight="1">
      <c r="A12" s="2" t="s">
        <v>73</v>
      </c>
      <c r="B12" s="2" t="s">
        <v>63</v>
      </c>
      <c r="C12" s="2" t="s">
        <v>64</v>
      </c>
      <c r="D12" s="2" t="s">
        <v>74</v>
      </c>
      <c r="E12" s="2" t="s">
        <v>66</v>
      </c>
      <c r="F12" s="2" t="s">
        <v>75</v>
      </c>
      <c r="G12" s="2" t="s">
        <v>30</v>
      </c>
      <c r="H12" s="2" t="s">
        <v>76</v>
      </c>
      <c r="I12" s="4">
        <v>30</v>
      </c>
      <c r="J12" s="4"/>
      <c r="K12" s="3"/>
      <c r="L12" s="2" t="s">
        <v>45</v>
      </c>
      <c r="M12" s="5"/>
      <c r="N12" s="5"/>
      <c r="O12" s="2"/>
      <c r="P12" s="2"/>
      <c r="Q12" s="2"/>
      <c r="R12" s="2"/>
      <c r="S12" s="2" t="s">
        <v>34</v>
      </c>
      <c r="T12" s="2" t="s">
        <v>71</v>
      </c>
      <c r="U12" s="2" t="s">
        <v>72</v>
      </c>
      <c r="V12" s="2"/>
      <c r="W12" s="2"/>
      <c r="X12" s="2"/>
      <c r="Y12" s="2"/>
      <c r="Z12" s="2"/>
    </row>
    <row r="13" spans="1:26" ht="40.950000000000003" customHeight="1">
      <c r="A13" s="2" t="s">
        <v>77</v>
      </c>
      <c r="B13" s="2" t="s">
        <v>63</v>
      </c>
      <c r="C13" s="2" t="s">
        <v>78</v>
      </c>
      <c r="D13" s="2" t="s">
        <v>79</v>
      </c>
      <c r="E13" s="2" t="s">
        <v>66</v>
      </c>
      <c r="F13" s="2" t="s">
        <v>80</v>
      </c>
      <c r="G13" s="2" t="s">
        <v>30</v>
      </c>
      <c r="H13" s="2" t="s">
        <v>81</v>
      </c>
      <c r="I13" s="4">
        <v>350</v>
      </c>
      <c r="J13" s="4"/>
      <c r="K13" s="3"/>
      <c r="L13" s="2" t="s">
        <v>82</v>
      </c>
      <c r="M13" s="5"/>
      <c r="N13" s="5"/>
      <c r="O13" s="2"/>
      <c r="P13" s="2"/>
      <c r="Q13" s="2"/>
      <c r="R13" s="2" t="s">
        <v>83</v>
      </c>
      <c r="S13" s="2" t="s">
        <v>34</v>
      </c>
      <c r="T13" s="2" t="s">
        <v>71</v>
      </c>
      <c r="U13" s="2" t="s">
        <v>72</v>
      </c>
      <c r="V13" s="2" t="s">
        <v>84</v>
      </c>
      <c r="W13" s="2"/>
      <c r="X13" s="2"/>
      <c r="Y13" s="2"/>
      <c r="Z13" s="2"/>
    </row>
    <row r="14" spans="1:26" ht="40.950000000000003" customHeight="1">
      <c r="A14" s="2" t="s">
        <v>85</v>
      </c>
      <c r="B14" s="2" t="s">
        <v>25</v>
      </c>
      <c r="C14" s="2" t="s">
        <v>86</v>
      </c>
      <c r="D14" s="2" t="s">
        <v>87</v>
      </c>
      <c r="E14" s="2" t="s">
        <v>28</v>
      </c>
      <c r="F14" s="2" t="s">
        <v>29</v>
      </c>
      <c r="G14" s="2" t="s">
        <v>30</v>
      </c>
      <c r="H14" s="2" t="s">
        <v>88</v>
      </c>
      <c r="I14" s="4"/>
      <c r="J14" s="4"/>
      <c r="K14" s="3"/>
      <c r="L14" s="2"/>
      <c r="M14" s="5"/>
      <c r="N14" s="5"/>
      <c r="O14" s="2"/>
      <c r="P14" s="2"/>
      <c r="Q14" s="2"/>
      <c r="R14" s="2"/>
      <c r="S14" s="2" t="s">
        <v>34</v>
      </c>
      <c r="T14" s="2" t="s">
        <v>35</v>
      </c>
      <c r="U14" s="2"/>
      <c r="V14" s="2" t="s">
        <v>89</v>
      </c>
      <c r="W14" s="2"/>
      <c r="X14" s="2"/>
      <c r="Y14" s="2"/>
      <c r="Z14" s="2"/>
    </row>
    <row r="15" spans="1:26" ht="40.950000000000003" customHeight="1">
      <c r="A15" s="2" t="s">
        <v>90</v>
      </c>
      <c r="B15" s="2" t="s">
        <v>25</v>
      </c>
      <c r="C15" s="2" t="s">
        <v>86</v>
      </c>
      <c r="D15" s="2" t="s">
        <v>91</v>
      </c>
      <c r="E15" s="2" t="s">
        <v>28</v>
      </c>
      <c r="F15" s="2" t="s">
        <v>92</v>
      </c>
      <c r="G15" s="2" t="s">
        <v>30</v>
      </c>
      <c r="H15" s="2" t="s">
        <v>31</v>
      </c>
      <c r="I15" s="4">
        <v>0</v>
      </c>
      <c r="J15" s="4"/>
      <c r="K15" s="3"/>
      <c r="L15" s="2" t="s">
        <v>69</v>
      </c>
      <c r="M15" s="5"/>
      <c r="N15" s="5"/>
      <c r="O15" s="2"/>
      <c r="P15" s="2"/>
      <c r="Q15" s="2"/>
      <c r="R15" s="2" t="s">
        <v>93</v>
      </c>
      <c r="S15" s="2" t="s">
        <v>34</v>
      </c>
      <c r="T15" s="2" t="s">
        <v>35</v>
      </c>
      <c r="U15" s="2"/>
      <c r="V15" s="2" t="s">
        <v>94</v>
      </c>
      <c r="W15" s="2"/>
      <c r="X15" s="2"/>
      <c r="Y15" s="2"/>
      <c r="Z15" s="2"/>
    </row>
    <row r="16" spans="1:26" ht="40.950000000000003" customHeight="1">
      <c r="A16" s="2" t="s">
        <v>95</v>
      </c>
      <c r="B16" s="2" t="s">
        <v>25</v>
      </c>
      <c r="C16" s="2" t="s">
        <v>96</v>
      </c>
      <c r="D16" s="2" t="s">
        <v>97</v>
      </c>
      <c r="E16" s="2" t="s">
        <v>28</v>
      </c>
      <c r="F16" s="2" t="s">
        <v>29</v>
      </c>
      <c r="G16" s="2" t="s">
        <v>98</v>
      </c>
      <c r="H16" s="2" t="s">
        <v>88</v>
      </c>
      <c r="I16" s="4"/>
      <c r="J16" s="4"/>
      <c r="K16" s="3"/>
      <c r="L16" s="2"/>
      <c r="M16" s="5"/>
      <c r="N16" s="5"/>
      <c r="O16" s="2"/>
      <c r="P16" s="2"/>
      <c r="Q16" s="2"/>
      <c r="R16" s="2" t="s">
        <v>99</v>
      </c>
      <c r="S16" s="2" t="s">
        <v>34</v>
      </c>
      <c r="T16" s="2" t="s">
        <v>35</v>
      </c>
      <c r="U16" s="2"/>
      <c r="V16" s="2" t="s">
        <v>100</v>
      </c>
      <c r="W16" s="2"/>
      <c r="X16" s="2"/>
      <c r="Y16" s="2"/>
      <c r="Z16" s="2"/>
    </row>
    <row r="17" spans="1:26" ht="40.950000000000003" customHeight="1">
      <c r="A17" s="2" t="s">
        <v>101</v>
      </c>
      <c r="B17" s="2" t="s">
        <v>25</v>
      </c>
      <c r="C17" s="2" t="s">
        <v>102</v>
      </c>
      <c r="D17" s="2" t="s">
        <v>103</v>
      </c>
      <c r="E17" s="2" t="s">
        <v>28</v>
      </c>
      <c r="F17" s="2" t="s">
        <v>104</v>
      </c>
      <c r="G17" s="2" t="s">
        <v>30</v>
      </c>
      <c r="H17" s="2" t="s">
        <v>88</v>
      </c>
      <c r="I17" s="4"/>
      <c r="J17" s="4"/>
      <c r="K17" s="3"/>
      <c r="L17" s="2"/>
      <c r="M17" s="5"/>
      <c r="N17" s="5"/>
      <c r="O17" s="2"/>
      <c r="P17" s="2"/>
      <c r="Q17" s="2"/>
      <c r="R17" s="2" t="s">
        <v>105</v>
      </c>
      <c r="S17" s="2" t="s">
        <v>34</v>
      </c>
      <c r="T17" s="2" t="s">
        <v>35</v>
      </c>
      <c r="U17" s="2"/>
      <c r="V17" s="2" t="s">
        <v>106</v>
      </c>
      <c r="W17" s="2"/>
      <c r="X17" s="2"/>
      <c r="Y17" s="2"/>
      <c r="Z17" s="2"/>
    </row>
    <row r="18" spans="1:26" ht="40.950000000000003" customHeight="1">
      <c r="A18" s="2" t="s">
        <v>107</v>
      </c>
      <c r="B18" s="2" t="s">
        <v>25</v>
      </c>
      <c r="C18" s="2" t="s">
        <v>102</v>
      </c>
      <c r="D18" s="2" t="s">
        <v>108</v>
      </c>
      <c r="E18" s="2" t="s">
        <v>28</v>
      </c>
      <c r="F18" s="2" t="s">
        <v>104</v>
      </c>
      <c r="G18" s="2" t="s">
        <v>30</v>
      </c>
      <c r="H18" s="2" t="s">
        <v>88</v>
      </c>
      <c r="I18" s="4"/>
      <c r="J18" s="4"/>
      <c r="K18" s="3"/>
      <c r="L18" s="2"/>
      <c r="M18" s="5"/>
      <c r="N18" s="5"/>
      <c r="O18" s="2"/>
      <c r="P18" s="2"/>
      <c r="Q18" s="2"/>
      <c r="R18" s="2" t="s">
        <v>109</v>
      </c>
      <c r="S18" s="2" t="s">
        <v>34</v>
      </c>
      <c r="T18" s="2" t="s">
        <v>35</v>
      </c>
      <c r="U18" s="2"/>
      <c r="V18" s="2" t="s">
        <v>110</v>
      </c>
      <c r="W18" s="2"/>
      <c r="X18" s="2"/>
      <c r="Y18" s="2"/>
      <c r="Z18" s="2"/>
    </row>
    <row r="19" spans="1:26" ht="40.950000000000003" customHeight="1">
      <c r="A19" s="2" t="s">
        <v>111</v>
      </c>
      <c r="B19" s="2" t="s">
        <v>25</v>
      </c>
      <c r="C19" s="2" t="s">
        <v>50</v>
      </c>
      <c r="D19" s="2" t="s">
        <v>112</v>
      </c>
      <c r="E19" s="2" t="s">
        <v>28</v>
      </c>
      <c r="F19" s="2" t="s">
        <v>113</v>
      </c>
      <c r="G19" s="2" t="s">
        <v>30</v>
      </c>
      <c r="H19" s="2" t="s">
        <v>88</v>
      </c>
      <c r="I19" s="4"/>
      <c r="J19" s="4"/>
      <c r="K19" s="3"/>
      <c r="L19" s="2"/>
      <c r="M19" s="5"/>
      <c r="N19" s="5"/>
      <c r="O19" s="2"/>
      <c r="P19" s="2"/>
      <c r="Q19" s="2"/>
      <c r="R19" s="2" t="s">
        <v>114</v>
      </c>
      <c r="S19" s="2" t="s">
        <v>34</v>
      </c>
      <c r="T19" s="2" t="s">
        <v>35</v>
      </c>
      <c r="U19" s="2"/>
      <c r="V19" s="2" t="s">
        <v>115</v>
      </c>
      <c r="W19" s="2"/>
      <c r="X19" s="2"/>
      <c r="Y19" s="2"/>
      <c r="Z19" s="2"/>
    </row>
    <row r="20" spans="1:26" ht="40.950000000000003" customHeight="1">
      <c r="A20" s="2" t="s">
        <v>116</v>
      </c>
      <c r="B20" s="2" t="s">
        <v>25</v>
      </c>
      <c r="C20" s="2" t="s">
        <v>117</v>
      </c>
      <c r="D20" s="2" t="s">
        <v>118</v>
      </c>
      <c r="E20" s="2" t="s">
        <v>28</v>
      </c>
      <c r="F20" s="2" t="s">
        <v>104</v>
      </c>
      <c r="G20" s="2" t="s">
        <v>30</v>
      </c>
      <c r="H20" s="2" t="s">
        <v>88</v>
      </c>
      <c r="I20" s="4"/>
      <c r="J20" s="4"/>
      <c r="K20" s="3"/>
      <c r="L20" s="2"/>
      <c r="M20" s="5"/>
      <c r="N20" s="5"/>
      <c r="O20" s="2"/>
      <c r="P20" s="2"/>
      <c r="Q20" s="2"/>
      <c r="R20" s="2" t="s">
        <v>119</v>
      </c>
      <c r="S20" s="2" t="s">
        <v>34</v>
      </c>
      <c r="T20" s="2" t="s">
        <v>35</v>
      </c>
      <c r="U20" s="2"/>
      <c r="V20" s="2" t="s">
        <v>120</v>
      </c>
      <c r="W20" s="2"/>
      <c r="X20" s="2"/>
      <c r="Y20" s="2"/>
      <c r="Z20" s="2"/>
    </row>
    <row r="21" spans="1:26" ht="40.950000000000003" customHeight="1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29</v>
      </c>
      <c r="G21" s="2" t="s">
        <v>30</v>
      </c>
      <c r="H21" s="2" t="s">
        <v>88</v>
      </c>
      <c r="I21" s="4"/>
      <c r="J21" s="4"/>
      <c r="K21" s="3"/>
      <c r="L21" s="2"/>
      <c r="M21" s="5"/>
      <c r="N21" s="5"/>
      <c r="O21" s="2"/>
      <c r="P21" s="2"/>
      <c r="Q21" s="2"/>
      <c r="R21" s="2" t="s">
        <v>126</v>
      </c>
      <c r="S21" s="2" t="s">
        <v>34</v>
      </c>
      <c r="T21" s="2" t="s">
        <v>35</v>
      </c>
      <c r="U21" s="2"/>
      <c r="V21" s="2" t="s">
        <v>127</v>
      </c>
      <c r="W21" s="2"/>
      <c r="X21" s="2"/>
      <c r="Y21" s="2"/>
      <c r="Z21" s="2"/>
    </row>
    <row r="22" spans="1:26" ht="40.950000000000003" customHeight="1">
      <c r="A22" s="2" t="s">
        <v>128</v>
      </c>
      <c r="B22" s="2" t="s">
        <v>25</v>
      </c>
      <c r="C22" s="2" t="s">
        <v>129</v>
      </c>
      <c r="D22" s="2" t="s">
        <v>130</v>
      </c>
      <c r="E22" s="2" t="s">
        <v>125</v>
      </c>
      <c r="F22" s="2" t="s">
        <v>29</v>
      </c>
      <c r="G22" s="2" t="s">
        <v>30</v>
      </c>
      <c r="H22" s="2" t="s">
        <v>31</v>
      </c>
      <c r="I22" s="4">
        <v>0</v>
      </c>
      <c r="J22" s="4"/>
      <c r="K22" s="3"/>
      <c r="L22" s="2" t="s">
        <v>131</v>
      </c>
      <c r="M22" s="5"/>
      <c r="N22" s="5"/>
      <c r="O22" s="2"/>
      <c r="P22" s="2"/>
      <c r="Q22" s="2"/>
      <c r="R22" s="2" t="s">
        <v>132</v>
      </c>
      <c r="S22" s="2" t="s">
        <v>34</v>
      </c>
      <c r="T22" s="2" t="s">
        <v>35</v>
      </c>
      <c r="U22" s="2"/>
      <c r="V22" s="2" t="s">
        <v>133</v>
      </c>
      <c r="W22" s="2"/>
      <c r="X22" s="2"/>
      <c r="Y22" s="2"/>
      <c r="Z22" s="2"/>
    </row>
    <row r="23" spans="1:26" ht="40.950000000000003" customHeight="1">
      <c r="A23" s="2" t="s">
        <v>134</v>
      </c>
      <c r="B23" s="2" t="s">
        <v>25</v>
      </c>
      <c r="C23" s="2" t="s">
        <v>135</v>
      </c>
      <c r="D23" s="2" t="s">
        <v>136</v>
      </c>
      <c r="E23" s="2" t="s">
        <v>125</v>
      </c>
      <c r="F23" s="2" t="s">
        <v>137</v>
      </c>
      <c r="G23" s="2" t="s">
        <v>30</v>
      </c>
      <c r="H23" s="2" t="s">
        <v>88</v>
      </c>
      <c r="I23" s="4"/>
      <c r="J23" s="4"/>
      <c r="K23" s="3"/>
      <c r="L23" s="2"/>
      <c r="M23" s="5"/>
      <c r="N23" s="5"/>
      <c r="O23" s="2"/>
      <c r="P23" s="2"/>
      <c r="Q23" s="2"/>
      <c r="R23" s="2" t="s">
        <v>138</v>
      </c>
      <c r="S23" s="2" t="s">
        <v>34</v>
      </c>
      <c r="T23" s="2" t="s">
        <v>35</v>
      </c>
      <c r="U23" s="2"/>
      <c r="V23" s="2" t="s">
        <v>139</v>
      </c>
      <c r="W23" s="2"/>
      <c r="X23" s="2"/>
      <c r="Y23" s="2"/>
      <c r="Z23" s="2"/>
    </row>
    <row r="24" spans="1:26" ht="40.950000000000003" customHeight="1">
      <c r="A24" s="2" t="s">
        <v>140</v>
      </c>
      <c r="B24" s="2" t="s">
        <v>25</v>
      </c>
      <c r="C24" s="2" t="s">
        <v>26</v>
      </c>
      <c r="D24" s="2" t="s">
        <v>141</v>
      </c>
      <c r="E24" s="2" t="s">
        <v>28</v>
      </c>
      <c r="F24" s="2" t="s">
        <v>142</v>
      </c>
      <c r="G24" s="2" t="s">
        <v>30</v>
      </c>
      <c r="H24" s="2" t="s">
        <v>31</v>
      </c>
      <c r="I24" s="4">
        <v>0</v>
      </c>
      <c r="J24" s="4"/>
      <c r="K24" s="3"/>
      <c r="L24" s="2" t="s">
        <v>143</v>
      </c>
      <c r="M24" s="5"/>
      <c r="N24" s="5"/>
      <c r="O24" s="2"/>
      <c r="P24" s="2"/>
      <c r="Q24" s="2"/>
      <c r="R24" s="2" t="s">
        <v>144</v>
      </c>
      <c r="S24" s="2" t="s">
        <v>34</v>
      </c>
      <c r="T24" s="2" t="s">
        <v>35</v>
      </c>
      <c r="U24" s="2"/>
      <c r="V24" s="2"/>
      <c r="W24" s="2"/>
      <c r="X24" s="2"/>
      <c r="Y24" s="2"/>
      <c r="Z24" s="2"/>
    </row>
    <row r="25" spans="1:26" ht="40.950000000000003" customHeight="1">
      <c r="A25" s="2" t="s">
        <v>145</v>
      </c>
      <c r="B25" s="2" t="s">
        <v>25</v>
      </c>
      <c r="C25" s="2" t="s">
        <v>86</v>
      </c>
      <c r="D25" s="2" t="s">
        <v>146</v>
      </c>
      <c r="E25" s="2" t="s">
        <v>28</v>
      </c>
      <c r="F25" s="2" t="s">
        <v>29</v>
      </c>
      <c r="G25" s="2" t="s">
        <v>30</v>
      </c>
      <c r="H25" s="2" t="s">
        <v>53</v>
      </c>
      <c r="I25" s="4"/>
      <c r="J25" s="4"/>
      <c r="K25" s="3"/>
      <c r="L25" s="2"/>
      <c r="M25" s="5"/>
      <c r="N25" s="5"/>
      <c r="O25" s="2"/>
      <c r="P25" s="2"/>
      <c r="Q25" s="2"/>
      <c r="R25" s="2" t="s">
        <v>147</v>
      </c>
      <c r="S25" s="2" t="s">
        <v>34</v>
      </c>
      <c r="T25" s="2" t="s">
        <v>35</v>
      </c>
      <c r="U25" s="2"/>
      <c r="V25" s="2" t="s">
        <v>148</v>
      </c>
      <c r="W25" s="2"/>
      <c r="X25" s="2"/>
      <c r="Y25" s="2"/>
      <c r="Z25" s="2"/>
    </row>
    <row r="26" spans="1:26" ht="40.950000000000003" customHeight="1">
      <c r="A26" s="2" t="s">
        <v>149</v>
      </c>
      <c r="B26" s="2" t="s">
        <v>150</v>
      </c>
      <c r="C26" s="2" t="s">
        <v>151</v>
      </c>
      <c r="D26" s="2" t="s">
        <v>152</v>
      </c>
      <c r="E26" s="2" t="s">
        <v>28</v>
      </c>
      <c r="F26" s="2" t="s">
        <v>153</v>
      </c>
      <c r="G26" s="2" t="s">
        <v>30</v>
      </c>
      <c r="H26" s="2" t="s">
        <v>88</v>
      </c>
      <c r="I26" s="4"/>
      <c r="J26" s="4"/>
      <c r="K26" s="3"/>
      <c r="L26" s="2"/>
      <c r="M26" s="5"/>
      <c r="N26" s="5"/>
      <c r="O26" s="2"/>
      <c r="P26" s="2"/>
      <c r="Q26" s="2"/>
      <c r="R26" s="2" t="s">
        <v>154</v>
      </c>
      <c r="S26" s="2" t="s">
        <v>34</v>
      </c>
      <c r="T26" s="2" t="s">
        <v>35</v>
      </c>
      <c r="U26" s="2"/>
      <c r="V26" s="2" t="s">
        <v>155</v>
      </c>
      <c r="W26" s="2"/>
      <c r="X26" s="2"/>
      <c r="Y26" s="2"/>
      <c r="Z26" s="2"/>
    </row>
    <row r="27" spans="1:26" ht="40.950000000000003" customHeight="1">
      <c r="A27" s="2" t="s">
        <v>156</v>
      </c>
      <c r="B27" s="2" t="s">
        <v>25</v>
      </c>
      <c r="C27" s="2" t="s">
        <v>157</v>
      </c>
      <c r="D27" s="2" t="s">
        <v>158</v>
      </c>
      <c r="E27" s="2" t="s">
        <v>28</v>
      </c>
      <c r="F27" s="2" t="s">
        <v>104</v>
      </c>
      <c r="G27" s="2" t="s">
        <v>98</v>
      </c>
      <c r="H27" s="2" t="s">
        <v>88</v>
      </c>
      <c r="I27" s="4"/>
      <c r="J27" s="4"/>
      <c r="K27" s="3"/>
      <c r="L27" s="2"/>
      <c r="M27" s="5"/>
      <c r="N27" s="5"/>
      <c r="O27" s="2"/>
      <c r="P27" s="2"/>
      <c r="Q27" s="2"/>
      <c r="R27" s="2" t="s">
        <v>159</v>
      </c>
      <c r="S27" s="2" t="s">
        <v>34</v>
      </c>
      <c r="T27" s="2" t="s">
        <v>35</v>
      </c>
      <c r="U27" s="2"/>
      <c r="V27" s="2" t="s">
        <v>160</v>
      </c>
      <c r="W27" s="2"/>
      <c r="X27" s="2"/>
      <c r="Y27" s="2"/>
      <c r="Z27" s="2"/>
    </row>
    <row r="28" spans="1:26" ht="40.950000000000003" customHeight="1">
      <c r="A28" s="2" t="s">
        <v>161</v>
      </c>
      <c r="B28" s="2" t="s">
        <v>63</v>
      </c>
      <c r="C28" s="2" t="s">
        <v>162</v>
      </c>
      <c r="D28" s="2" t="s">
        <v>163</v>
      </c>
      <c r="E28" s="2" t="s">
        <v>66</v>
      </c>
      <c r="F28" s="2" t="s">
        <v>164</v>
      </c>
      <c r="G28" s="2" t="s">
        <v>30</v>
      </c>
      <c r="H28" s="2" t="s">
        <v>76</v>
      </c>
      <c r="I28" s="4">
        <v>30</v>
      </c>
      <c r="J28" s="4"/>
      <c r="K28" s="3"/>
      <c r="L28" s="2" t="s">
        <v>165</v>
      </c>
      <c r="M28" s="5"/>
      <c r="N28" s="5"/>
      <c r="O28" s="2"/>
      <c r="P28" s="2"/>
      <c r="Q28" s="2"/>
      <c r="R28" s="2"/>
      <c r="S28" s="2" t="s">
        <v>34</v>
      </c>
      <c r="T28" s="2" t="s">
        <v>166</v>
      </c>
      <c r="U28" s="2"/>
      <c r="V28" s="2"/>
      <c r="W28" s="2"/>
      <c r="X28" s="2"/>
      <c r="Y28" s="2"/>
      <c r="Z28" s="2"/>
    </row>
    <row r="29" spans="1:26" ht="40.950000000000003" customHeight="1">
      <c r="A29" s="2" t="s">
        <v>167</v>
      </c>
      <c r="B29" s="2" t="s">
        <v>63</v>
      </c>
      <c r="C29" s="2" t="s">
        <v>162</v>
      </c>
      <c r="D29" s="2" t="s">
        <v>168</v>
      </c>
      <c r="E29" s="2" t="s">
        <v>66</v>
      </c>
      <c r="F29" s="2" t="s">
        <v>169</v>
      </c>
      <c r="G29" s="2" t="s">
        <v>30</v>
      </c>
      <c r="H29" s="2" t="s">
        <v>170</v>
      </c>
      <c r="I29" s="4">
        <v>35</v>
      </c>
      <c r="J29" s="4"/>
      <c r="K29" s="3"/>
      <c r="L29" s="2" t="s">
        <v>165</v>
      </c>
      <c r="M29" s="5"/>
      <c r="N29" s="5"/>
      <c r="O29" s="2"/>
      <c r="P29" s="2"/>
      <c r="Q29" s="2"/>
      <c r="R29" s="2"/>
      <c r="S29" s="2" t="s">
        <v>34</v>
      </c>
      <c r="T29" s="2" t="s">
        <v>166</v>
      </c>
      <c r="U29" s="2"/>
      <c r="V29" s="2"/>
      <c r="W29" s="2"/>
      <c r="X29" s="2"/>
      <c r="Y29" s="2"/>
      <c r="Z29" s="2"/>
    </row>
    <row r="30" spans="1:26" ht="40.950000000000003" customHeight="1">
      <c r="A30" s="2" t="s">
        <v>171</v>
      </c>
      <c r="B30" s="2" t="s">
        <v>63</v>
      </c>
      <c r="C30" s="2" t="s">
        <v>172</v>
      </c>
      <c r="D30" s="2" t="s">
        <v>173</v>
      </c>
      <c r="E30" s="2" t="s">
        <v>66</v>
      </c>
      <c r="F30" s="2" t="s">
        <v>174</v>
      </c>
      <c r="G30" s="2" t="s">
        <v>30</v>
      </c>
      <c r="H30" s="2" t="s">
        <v>175</v>
      </c>
      <c r="I30" s="4">
        <v>18</v>
      </c>
      <c r="J30" s="4"/>
      <c r="K30" s="3"/>
      <c r="L30" s="2" t="s">
        <v>165</v>
      </c>
      <c r="M30" s="5"/>
      <c r="N30" s="5"/>
      <c r="O30" s="2"/>
      <c r="P30" s="2"/>
      <c r="Q30" s="2"/>
      <c r="R30" s="2" t="s">
        <v>176</v>
      </c>
      <c r="S30" s="2" t="s">
        <v>34</v>
      </c>
      <c r="T30" s="2" t="s">
        <v>166</v>
      </c>
      <c r="U30" s="2"/>
      <c r="V30" s="2" t="s">
        <v>177</v>
      </c>
      <c r="W30" s="2"/>
      <c r="X30" s="2"/>
      <c r="Y30" s="2"/>
      <c r="Z30" s="2"/>
    </row>
    <row r="31" spans="1:26" ht="40.950000000000003" customHeight="1">
      <c r="A31" s="2" t="s">
        <v>178</v>
      </c>
      <c r="B31" s="2" t="s">
        <v>63</v>
      </c>
      <c r="C31" s="2" t="s">
        <v>179</v>
      </c>
      <c r="D31" s="2" t="s">
        <v>180</v>
      </c>
      <c r="E31" s="2" t="s">
        <v>66</v>
      </c>
      <c r="F31" s="2" t="s">
        <v>181</v>
      </c>
      <c r="G31" s="2" t="s">
        <v>30</v>
      </c>
      <c r="H31" s="2" t="s">
        <v>182</v>
      </c>
      <c r="I31" s="4">
        <v>0</v>
      </c>
      <c r="J31" s="4"/>
      <c r="K31" s="3"/>
      <c r="L31" s="2" t="s">
        <v>131</v>
      </c>
      <c r="M31" s="5"/>
      <c r="N31" s="5"/>
      <c r="O31" s="2"/>
      <c r="P31" s="2"/>
      <c r="Q31" s="2"/>
      <c r="R31" s="2" t="s">
        <v>183</v>
      </c>
      <c r="S31" s="2" t="s">
        <v>184</v>
      </c>
      <c r="T31" s="2" t="s">
        <v>166</v>
      </c>
      <c r="U31" s="2"/>
      <c r="V31" s="2" t="s">
        <v>185</v>
      </c>
      <c r="W31" s="2"/>
      <c r="X31" s="2"/>
      <c r="Y31" s="2"/>
      <c r="Z31" s="2"/>
    </row>
    <row r="32" spans="1:26" ht="40.950000000000003" customHeight="1">
      <c r="A32" s="2" t="s">
        <v>186</v>
      </c>
      <c r="B32" s="2" t="s">
        <v>63</v>
      </c>
      <c r="C32" s="2" t="s">
        <v>179</v>
      </c>
      <c r="D32" s="2" t="s">
        <v>187</v>
      </c>
      <c r="E32" s="2" t="s">
        <v>66</v>
      </c>
      <c r="F32" s="2" t="s">
        <v>188</v>
      </c>
      <c r="G32" s="2" t="s">
        <v>30</v>
      </c>
      <c r="H32" s="2" t="s">
        <v>182</v>
      </c>
      <c r="I32" s="4">
        <v>0</v>
      </c>
      <c r="J32" s="4"/>
      <c r="K32" s="3"/>
      <c r="L32" s="2" t="s">
        <v>131</v>
      </c>
      <c r="M32" s="5"/>
      <c r="N32" s="5"/>
      <c r="O32" s="2"/>
      <c r="P32" s="2"/>
      <c r="Q32" s="2"/>
      <c r="R32" s="2" t="s">
        <v>189</v>
      </c>
      <c r="S32" s="2" t="s">
        <v>184</v>
      </c>
      <c r="T32" s="2" t="s">
        <v>166</v>
      </c>
      <c r="U32" s="2"/>
      <c r="V32" s="2"/>
      <c r="W32" s="2"/>
      <c r="X32" s="2"/>
      <c r="Y32" s="2"/>
      <c r="Z32" s="2"/>
    </row>
    <row r="33" spans="1:26" ht="40.950000000000003" customHeight="1">
      <c r="A33" s="2" t="s">
        <v>190</v>
      </c>
      <c r="B33" s="2" t="s">
        <v>63</v>
      </c>
      <c r="C33" s="2" t="s">
        <v>191</v>
      </c>
      <c r="D33" s="2" t="s">
        <v>192</v>
      </c>
      <c r="E33" s="2" t="s">
        <v>66</v>
      </c>
      <c r="F33" s="2" t="s">
        <v>193</v>
      </c>
      <c r="G33" s="2" t="s">
        <v>194</v>
      </c>
      <c r="H33" s="2" t="s">
        <v>195</v>
      </c>
      <c r="I33" s="4"/>
      <c r="J33" s="4"/>
      <c r="K33" s="3"/>
      <c r="L33" s="2" t="s">
        <v>196</v>
      </c>
      <c r="M33" s="5"/>
      <c r="N33" s="5">
        <v>50000</v>
      </c>
      <c r="O33" s="2" t="s">
        <v>197</v>
      </c>
      <c r="P33" s="2"/>
      <c r="Q33" s="2"/>
      <c r="R33" s="2"/>
      <c r="S33" s="2" t="s">
        <v>34</v>
      </c>
      <c r="T33" s="2" t="s">
        <v>166</v>
      </c>
      <c r="U33" s="2"/>
      <c r="V33" s="2"/>
      <c r="W33" s="2"/>
      <c r="X33" s="2"/>
      <c r="Y33" s="2"/>
      <c r="Z33" s="2"/>
    </row>
    <row r="34" spans="1:26" ht="40.950000000000003" customHeight="1">
      <c r="A34" s="2" t="s">
        <v>198</v>
      </c>
      <c r="B34" s="2" t="s">
        <v>63</v>
      </c>
      <c r="C34" s="2" t="s">
        <v>191</v>
      </c>
      <c r="D34" s="2" t="s">
        <v>199</v>
      </c>
      <c r="E34" s="2" t="s">
        <v>66</v>
      </c>
      <c r="F34" s="2" t="s">
        <v>181</v>
      </c>
      <c r="G34" s="2" t="s">
        <v>194</v>
      </c>
      <c r="H34" s="2" t="s">
        <v>200</v>
      </c>
      <c r="I34" s="4"/>
      <c r="J34" s="4"/>
      <c r="K34" s="3"/>
      <c r="L34" s="2" t="s">
        <v>196</v>
      </c>
      <c r="M34" s="5"/>
      <c r="N34" s="5">
        <v>200000</v>
      </c>
      <c r="O34" s="2" t="s">
        <v>197</v>
      </c>
      <c r="P34" s="2"/>
      <c r="Q34" s="2"/>
      <c r="R34" s="2"/>
      <c r="S34" s="2" t="s">
        <v>34</v>
      </c>
      <c r="T34" s="2" t="s">
        <v>166</v>
      </c>
      <c r="U34" s="2"/>
      <c r="V34" s="2"/>
      <c r="W34" s="2"/>
      <c r="X34" s="2"/>
      <c r="Y34" s="2"/>
      <c r="Z34" s="2"/>
    </row>
    <row r="35" spans="1:26" ht="40.950000000000003" customHeight="1">
      <c r="A35" s="2" t="s">
        <v>201</v>
      </c>
      <c r="B35" s="2" t="s">
        <v>63</v>
      </c>
      <c r="C35" s="2" t="s">
        <v>202</v>
      </c>
      <c r="D35" s="2" t="s">
        <v>203</v>
      </c>
      <c r="E35" s="2" t="s">
        <v>66</v>
      </c>
      <c r="F35" s="2" t="s">
        <v>193</v>
      </c>
      <c r="G35" s="2" t="s">
        <v>194</v>
      </c>
      <c r="H35" s="2" t="s">
        <v>204</v>
      </c>
      <c r="I35" s="4"/>
      <c r="J35" s="4"/>
      <c r="K35" s="3"/>
      <c r="L35" s="2" t="s">
        <v>196</v>
      </c>
      <c r="M35" s="5">
        <v>1000</v>
      </c>
      <c r="N35" s="5">
        <v>50000</v>
      </c>
      <c r="O35" s="2" t="s">
        <v>197</v>
      </c>
      <c r="P35" s="2"/>
      <c r="Q35" s="2"/>
      <c r="R35" s="2" t="s">
        <v>205</v>
      </c>
      <c r="S35" s="2" t="s">
        <v>34</v>
      </c>
      <c r="T35" s="2" t="s">
        <v>166</v>
      </c>
      <c r="U35" s="2"/>
      <c r="V35" s="2" t="s">
        <v>206</v>
      </c>
      <c r="W35" s="2"/>
      <c r="X35" s="2"/>
      <c r="Y35" s="2"/>
      <c r="Z35" s="2"/>
    </row>
    <row r="36" spans="1:26" ht="40.950000000000003" customHeight="1">
      <c r="A36" s="2" t="s">
        <v>207</v>
      </c>
      <c r="B36" s="2" t="s">
        <v>150</v>
      </c>
      <c r="C36" s="2" t="s">
        <v>208</v>
      </c>
      <c r="D36" s="2" t="s">
        <v>209</v>
      </c>
      <c r="E36" s="2" t="s">
        <v>28</v>
      </c>
      <c r="F36" s="2" t="s">
        <v>210</v>
      </c>
      <c r="G36" s="2" t="s">
        <v>194</v>
      </c>
      <c r="H36" s="2" t="s">
        <v>211</v>
      </c>
      <c r="I36" s="4"/>
      <c r="J36" s="4"/>
      <c r="K36" s="3"/>
      <c r="L36" s="2" t="s">
        <v>196</v>
      </c>
      <c r="M36" s="5">
        <v>1000</v>
      </c>
      <c r="N36" s="5">
        <v>200000</v>
      </c>
      <c r="O36" s="2" t="s">
        <v>197</v>
      </c>
      <c r="P36" s="2"/>
      <c r="Q36" s="2"/>
      <c r="R36" s="2" t="s">
        <v>212</v>
      </c>
      <c r="S36" s="2" t="s">
        <v>34</v>
      </c>
      <c r="T36" s="2" t="s">
        <v>166</v>
      </c>
      <c r="U36" s="2"/>
      <c r="V36" s="2" t="s">
        <v>213</v>
      </c>
      <c r="W36" s="2"/>
      <c r="X36" s="2"/>
      <c r="Y36" s="2"/>
      <c r="Z36" s="2"/>
    </row>
    <row r="37" spans="1:26" ht="40.950000000000003" customHeight="1">
      <c r="A37" s="2" t="s">
        <v>214</v>
      </c>
      <c r="B37" s="2" t="s">
        <v>63</v>
      </c>
      <c r="C37" s="2" t="s">
        <v>215</v>
      </c>
      <c r="D37" s="2" t="s">
        <v>216</v>
      </c>
      <c r="E37" s="2" t="s">
        <v>66</v>
      </c>
      <c r="F37" s="2" t="s">
        <v>217</v>
      </c>
      <c r="G37" s="2" t="s">
        <v>218</v>
      </c>
      <c r="H37" s="2" t="s">
        <v>88</v>
      </c>
      <c r="I37" s="4"/>
      <c r="J37" s="4"/>
      <c r="K37" s="3"/>
      <c r="L37" s="2"/>
      <c r="M37" s="5"/>
      <c r="N37" s="5"/>
      <c r="O37" s="2"/>
      <c r="P37" s="2"/>
      <c r="Q37" s="2"/>
      <c r="R37" s="2" t="s">
        <v>219</v>
      </c>
      <c r="S37" s="2" t="s">
        <v>34</v>
      </c>
      <c r="T37" s="2" t="s">
        <v>166</v>
      </c>
      <c r="U37" s="2"/>
      <c r="V37" s="2"/>
      <c r="W37" s="2"/>
      <c r="X37" s="2"/>
      <c r="Y37" s="2"/>
      <c r="Z37" s="2"/>
    </row>
    <row r="38" spans="1:26" ht="40.950000000000003" customHeight="1">
      <c r="A38" s="2" t="s">
        <v>220</v>
      </c>
      <c r="B38" s="2" t="s">
        <v>63</v>
      </c>
      <c r="C38" s="2" t="s">
        <v>215</v>
      </c>
      <c r="D38" s="2" t="s">
        <v>221</v>
      </c>
      <c r="E38" s="2" t="s">
        <v>66</v>
      </c>
      <c r="F38" s="2" t="s">
        <v>222</v>
      </c>
      <c r="G38" s="2" t="s">
        <v>218</v>
      </c>
      <c r="H38" s="2" t="s">
        <v>88</v>
      </c>
      <c r="I38" s="4"/>
      <c r="J38" s="4"/>
      <c r="K38" s="3"/>
      <c r="L38" s="2"/>
      <c r="M38" s="5"/>
      <c r="N38" s="5"/>
      <c r="O38" s="2"/>
      <c r="P38" s="2"/>
      <c r="Q38" s="2"/>
      <c r="R38" s="2" t="s">
        <v>223</v>
      </c>
      <c r="S38" s="2" t="s">
        <v>34</v>
      </c>
      <c r="T38" s="2" t="s">
        <v>166</v>
      </c>
      <c r="U38" s="2"/>
      <c r="V38" s="2"/>
      <c r="W38" s="2"/>
      <c r="X38" s="2"/>
      <c r="Y38" s="2"/>
      <c r="Z38" s="2"/>
    </row>
    <row r="39" spans="1:26" ht="40.950000000000003" customHeight="1">
      <c r="A39" s="2" t="s">
        <v>224</v>
      </c>
      <c r="B39" s="2" t="s">
        <v>63</v>
      </c>
      <c r="C39" s="2" t="s">
        <v>157</v>
      </c>
      <c r="D39" s="2" t="s">
        <v>225</v>
      </c>
      <c r="E39" s="2" t="s">
        <v>66</v>
      </c>
      <c r="F39" s="2" t="s">
        <v>226</v>
      </c>
      <c r="G39" s="2" t="s">
        <v>98</v>
      </c>
      <c r="H39" s="2" t="s">
        <v>88</v>
      </c>
      <c r="I39" s="4"/>
      <c r="J39" s="4"/>
      <c r="K39" s="3"/>
      <c r="L39" s="2"/>
      <c r="M39" s="5"/>
      <c r="N39" s="5"/>
      <c r="O39" s="2"/>
      <c r="P39" s="2"/>
      <c r="Q39" s="2"/>
      <c r="R39" s="2" t="s">
        <v>227</v>
      </c>
      <c r="S39" s="2" t="s">
        <v>34</v>
      </c>
      <c r="T39" s="2" t="s">
        <v>166</v>
      </c>
      <c r="U39" s="2"/>
      <c r="V39" s="2"/>
      <c r="W39" s="2"/>
      <c r="X39" s="2"/>
      <c r="Y39" s="2"/>
      <c r="Z39" s="2"/>
    </row>
    <row r="40" spans="1:26" ht="40.950000000000003" customHeight="1">
      <c r="A40" s="2" t="s">
        <v>228</v>
      </c>
      <c r="B40" s="2" t="s">
        <v>63</v>
      </c>
      <c r="C40" s="2" t="s">
        <v>157</v>
      </c>
      <c r="D40" s="2" t="s">
        <v>229</v>
      </c>
      <c r="E40" s="2" t="s">
        <v>66</v>
      </c>
      <c r="F40" s="2" t="s">
        <v>164</v>
      </c>
      <c r="G40" s="2" t="s">
        <v>230</v>
      </c>
      <c r="H40" s="2" t="s">
        <v>231</v>
      </c>
      <c r="I40" s="4"/>
      <c r="J40" s="4"/>
      <c r="K40" s="3"/>
      <c r="L40" s="2"/>
      <c r="M40" s="5"/>
      <c r="N40" s="5"/>
      <c r="O40" s="2"/>
      <c r="P40" s="2"/>
      <c r="Q40" s="2"/>
      <c r="R40" s="2" t="s">
        <v>232</v>
      </c>
      <c r="S40" s="2" t="s">
        <v>34</v>
      </c>
      <c r="T40" s="2" t="s">
        <v>166</v>
      </c>
      <c r="U40" s="2"/>
      <c r="V40" s="2" t="s">
        <v>233</v>
      </c>
      <c r="W40" s="2"/>
      <c r="X40" s="2"/>
      <c r="Y40" s="2"/>
      <c r="Z40" s="2"/>
    </row>
    <row r="41" spans="1:26" ht="40.950000000000003" customHeight="1">
      <c r="A41" s="2" t="s">
        <v>234</v>
      </c>
      <c r="B41" s="2" t="s">
        <v>63</v>
      </c>
      <c r="C41" s="2" t="s">
        <v>157</v>
      </c>
      <c r="D41" s="2" t="s">
        <v>235</v>
      </c>
      <c r="E41" s="2" t="s">
        <v>66</v>
      </c>
      <c r="F41" s="2" t="s">
        <v>236</v>
      </c>
      <c r="G41" s="2" t="s">
        <v>230</v>
      </c>
      <c r="H41" s="2" t="s">
        <v>237</v>
      </c>
      <c r="I41" s="4"/>
      <c r="J41" s="4"/>
      <c r="K41" s="3"/>
      <c r="L41" s="2"/>
      <c r="M41" s="5"/>
      <c r="N41" s="5"/>
      <c r="O41" s="2"/>
      <c r="P41" s="2">
        <v>98</v>
      </c>
      <c r="Q41" s="2"/>
      <c r="R41" s="2" t="s">
        <v>238</v>
      </c>
      <c r="S41" s="2" t="s">
        <v>34</v>
      </c>
      <c r="T41" s="2" t="s">
        <v>166</v>
      </c>
      <c r="U41" s="2"/>
      <c r="V41" s="2"/>
      <c r="W41" s="2"/>
      <c r="X41" s="2"/>
      <c r="Y41" s="2"/>
      <c r="Z41" s="2"/>
    </row>
    <row r="42" spans="1:26" ht="40.950000000000003" customHeight="1">
      <c r="A42" s="2" t="s">
        <v>239</v>
      </c>
      <c r="B42" s="2" t="s">
        <v>63</v>
      </c>
      <c r="C42" s="2" t="s">
        <v>157</v>
      </c>
      <c r="D42" s="2" t="s">
        <v>240</v>
      </c>
      <c r="E42" s="2" t="s">
        <v>66</v>
      </c>
      <c r="F42" s="2" t="s">
        <v>188</v>
      </c>
      <c r="G42" s="2" t="s">
        <v>230</v>
      </c>
      <c r="H42" s="2" t="s">
        <v>241</v>
      </c>
      <c r="I42" s="4"/>
      <c r="J42" s="4"/>
      <c r="K42" s="3"/>
      <c r="L42" s="2"/>
      <c r="M42" s="5"/>
      <c r="N42" s="5"/>
      <c r="O42" s="2"/>
      <c r="P42" s="2">
        <v>45</v>
      </c>
      <c r="Q42" s="2"/>
      <c r="R42" s="2" t="s">
        <v>242</v>
      </c>
      <c r="S42" s="2" t="s">
        <v>34</v>
      </c>
      <c r="T42" s="2" t="s">
        <v>166</v>
      </c>
      <c r="U42" s="2"/>
      <c r="V42" s="2" t="s">
        <v>243</v>
      </c>
      <c r="W42" s="2"/>
      <c r="X42" s="2"/>
      <c r="Y42" s="2"/>
      <c r="Z42" s="2"/>
    </row>
    <row r="43" spans="1:26" ht="40.950000000000003" customHeight="1">
      <c r="A43" s="2" t="s">
        <v>244</v>
      </c>
      <c r="B43" s="2" t="s">
        <v>63</v>
      </c>
      <c r="C43" s="2" t="s">
        <v>157</v>
      </c>
      <c r="D43" s="2" t="s">
        <v>245</v>
      </c>
      <c r="E43" s="2" t="s">
        <v>66</v>
      </c>
      <c r="F43" s="2" t="s">
        <v>188</v>
      </c>
      <c r="G43" s="2" t="s">
        <v>230</v>
      </c>
      <c r="H43" s="2" t="s">
        <v>246</v>
      </c>
      <c r="I43" s="4"/>
      <c r="J43" s="4"/>
      <c r="K43" s="3"/>
      <c r="L43" s="2"/>
      <c r="M43" s="5"/>
      <c r="N43" s="5"/>
      <c r="O43" s="2"/>
      <c r="P43" s="2">
        <v>90</v>
      </c>
      <c r="Q43" s="2"/>
      <c r="R43" s="2"/>
      <c r="S43" s="2" t="s">
        <v>34</v>
      </c>
      <c r="T43" s="2" t="s">
        <v>166</v>
      </c>
      <c r="U43" s="2"/>
      <c r="V43" s="2"/>
      <c r="W43" s="2"/>
      <c r="X43" s="2"/>
      <c r="Y43" s="2"/>
      <c r="Z43" s="2"/>
    </row>
    <row r="44" spans="1:26" ht="40.950000000000003" customHeight="1">
      <c r="A44" s="2" t="s">
        <v>247</v>
      </c>
      <c r="B44" s="2" t="s">
        <v>63</v>
      </c>
      <c r="C44" s="2" t="s">
        <v>157</v>
      </c>
      <c r="D44" s="2" t="s">
        <v>248</v>
      </c>
      <c r="E44" s="2" t="s">
        <v>66</v>
      </c>
      <c r="F44" s="2" t="s">
        <v>188</v>
      </c>
      <c r="G44" s="2" t="s">
        <v>230</v>
      </c>
      <c r="H44" s="2" t="s">
        <v>249</v>
      </c>
      <c r="I44" s="4"/>
      <c r="J44" s="4"/>
      <c r="K44" s="3"/>
      <c r="L44" s="2"/>
      <c r="M44" s="5"/>
      <c r="N44" s="5"/>
      <c r="O44" s="2"/>
      <c r="P44" s="2">
        <v>120</v>
      </c>
      <c r="Q44" s="2"/>
      <c r="R44" s="2"/>
      <c r="S44" s="2" t="s">
        <v>34</v>
      </c>
      <c r="T44" s="2" t="s">
        <v>166</v>
      </c>
      <c r="U44" s="2"/>
      <c r="V44" s="2"/>
      <c r="W44" s="2"/>
      <c r="X44" s="2"/>
      <c r="Y44" s="2"/>
      <c r="Z44" s="2"/>
    </row>
    <row r="45" spans="1:26" ht="40.950000000000003" customHeight="1">
      <c r="A45" s="2" t="s">
        <v>250</v>
      </c>
      <c r="B45" s="2" t="s">
        <v>63</v>
      </c>
      <c r="C45" s="2" t="s">
        <v>251</v>
      </c>
      <c r="D45" s="2" t="s">
        <v>252</v>
      </c>
      <c r="E45" s="2" t="s">
        <v>66</v>
      </c>
      <c r="F45" s="2" t="s">
        <v>253</v>
      </c>
      <c r="G45" s="2" t="s">
        <v>218</v>
      </c>
      <c r="H45" s="2" t="s">
        <v>88</v>
      </c>
      <c r="I45" s="4"/>
      <c r="J45" s="4"/>
      <c r="K45" s="3"/>
      <c r="L45" s="2"/>
      <c r="M45" s="5"/>
      <c r="N45" s="5"/>
      <c r="O45" s="2"/>
      <c r="P45" s="2"/>
      <c r="Q45" s="2"/>
      <c r="R45" s="2" t="s">
        <v>254</v>
      </c>
      <c r="S45" s="2" t="s">
        <v>34</v>
      </c>
      <c r="T45" s="2" t="s">
        <v>166</v>
      </c>
      <c r="U45" s="2"/>
      <c r="V45" s="2" t="s">
        <v>255</v>
      </c>
      <c r="W45" s="2"/>
      <c r="X45" s="2"/>
      <c r="Y45" s="2"/>
      <c r="Z45" s="2"/>
    </row>
    <row r="46" spans="1:26" ht="40.950000000000003" customHeight="1">
      <c r="A46" s="2" t="s">
        <v>256</v>
      </c>
      <c r="B46" s="2" t="s">
        <v>257</v>
      </c>
      <c r="C46" s="2" t="s">
        <v>258</v>
      </c>
      <c r="D46" s="2" t="s">
        <v>259</v>
      </c>
      <c r="E46" s="2" t="s">
        <v>125</v>
      </c>
      <c r="F46" s="2" t="s">
        <v>260</v>
      </c>
      <c r="G46" s="2" t="s">
        <v>261</v>
      </c>
      <c r="H46" s="2" t="s">
        <v>262</v>
      </c>
      <c r="I46" s="4"/>
      <c r="J46" s="4"/>
      <c r="K46" s="3"/>
      <c r="L46" s="2"/>
      <c r="M46" s="5"/>
      <c r="N46" s="5"/>
      <c r="O46" s="2"/>
      <c r="P46" s="2"/>
      <c r="Q46" s="2"/>
      <c r="R46" s="2" t="s">
        <v>263</v>
      </c>
      <c r="S46" s="2" t="s">
        <v>34</v>
      </c>
      <c r="T46" s="2" t="s">
        <v>166</v>
      </c>
      <c r="U46" s="2"/>
      <c r="V46" s="2"/>
      <c r="W46" s="2"/>
      <c r="X46" s="2"/>
      <c r="Y46" s="2"/>
      <c r="Z46" s="2"/>
    </row>
    <row r="47" spans="1:26" ht="40.950000000000003" customHeight="1">
      <c r="A47" s="2" t="s">
        <v>264</v>
      </c>
      <c r="B47" s="2" t="s">
        <v>257</v>
      </c>
      <c r="C47" s="2" t="s">
        <v>258</v>
      </c>
      <c r="D47" s="2" t="s">
        <v>265</v>
      </c>
      <c r="E47" s="2" t="s">
        <v>125</v>
      </c>
      <c r="F47" s="2" t="s">
        <v>39</v>
      </c>
      <c r="G47" s="2" t="s">
        <v>261</v>
      </c>
      <c r="H47" s="2" t="s">
        <v>262</v>
      </c>
      <c r="I47" s="4"/>
      <c r="J47" s="4"/>
      <c r="K47" s="3"/>
      <c r="L47" s="2"/>
      <c r="M47" s="5"/>
      <c r="N47" s="5"/>
      <c r="O47" s="2"/>
      <c r="P47" s="2"/>
      <c r="Q47" s="2"/>
      <c r="R47" s="2" t="s">
        <v>266</v>
      </c>
      <c r="S47" s="2" t="s">
        <v>34</v>
      </c>
      <c r="T47" s="2" t="s">
        <v>166</v>
      </c>
      <c r="U47" s="2"/>
      <c r="V47" s="2" t="s">
        <v>267</v>
      </c>
      <c r="W47" s="2"/>
      <c r="X47" s="2"/>
      <c r="Y47" s="2"/>
      <c r="Z47" s="2"/>
    </row>
    <row r="48" spans="1:26" ht="40.950000000000003" customHeight="1">
      <c r="A48" s="2" t="s">
        <v>268</v>
      </c>
      <c r="B48" s="2" t="s">
        <v>257</v>
      </c>
      <c r="C48" s="2" t="s">
        <v>269</v>
      </c>
      <c r="D48" s="2" t="s">
        <v>270</v>
      </c>
      <c r="E48" s="2" t="s">
        <v>125</v>
      </c>
      <c r="F48" s="2" t="s">
        <v>39</v>
      </c>
      <c r="G48" s="2" t="s">
        <v>261</v>
      </c>
      <c r="H48" s="2" t="s">
        <v>262</v>
      </c>
      <c r="I48" s="4"/>
      <c r="J48" s="4"/>
      <c r="K48" s="3"/>
      <c r="L48" s="2"/>
      <c r="M48" s="5"/>
      <c r="N48" s="5"/>
      <c r="O48" s="2"/>
      <c r="P48" s="2"/>
      <c r="Q48" s="2"/>
      <c r="R48" s="2" t="s">
        <v>271</v>
      </c>
      <c r="S48" s="2" t="s">
        <v>34</v>
      </c>
      <c r="T48" s="2" t="s">
        <v>166</v>
      </c>
      <c r="U48" s="2"/>
      <c r="V48" s="2" t="s">
        <v>272</v>
      </c>
      <c r="W48" s="2"/>
      <c r="X48" s="2"/>
      <c r="Y48" s="2"/>
      <c r="Z48" s="2"/>
    </row>
    <row r="49" spans="1:26" ht="40.950000000000003" customHeight="1">
      <c r="A49" s="2" t="s">
        <v>273</v>
      </c>
      <c r="B49" s="2" t="s">
        <v>257</v>
      </c>
      <c r="C49" s="2" t="s">
        <v>258</v>
      </c>
      <c r="D49" s="2" t="s">
        <v>274</v>
      </c>
      <c r="E49" s="2" t="s">
        <v>125</v>
      </c>
      <c r="F49" s="2" t="s">
        <v>275</v>
      </c>
      <c r="G49" s="2" t="s">
        <v>261</v>
      </c>
      <c r="H49" s="2" t="s">
        <v>262</v>
      </c>
      <c r="I49" s="4"/>
      <c r="J49" s="4"/>
      <c r="K49" s="3"/>
      <c r="L49" s="2"/>
      <c r="M49" s="5"/>
      <c r="N49" s="5"/>
      <c r="O49" s="2"/>
      <c r="P49" s="2"/>
      <c r="Q49" s="2"/>
      <c r="R49" s="2" t="s">
        <v>276</v>
      </c>
      <c r="S49" s="2" t="s">
        <v>34</v>
      </c>
      <c r="T49" s="2" t="s">
        <v>166</v>
      </c>
      <c r="U49" s="2"/>
      <c r="V49" s="2"/>
      <c r="W49" s="2"/>
      <c r="X49" s="2"/>
      <c r="Y49" s="2"/>
      <c r="Z49" s="2"/>
    </row>
    <row r="50" spans="1:26" ht="40.950000000000003" customHeight="1">
      <c r="A50" s="2" t="s">
        <v>277</v>
      </c>
      <c r="B50" s="2" t="s">
        <v>63</v>
      </c>
      <c r="C50" s="2" t="s">
        <v>278</v>
      </c>
      <c r="D50" s="2" t="s">
        <v>279</v>
      </c>
      <c r="E50" s="2" t="s">
        <v>66</v>
      </c>
      <c r="F50" s="2" t="s">
        <v>280</v>
      </c>
      <c r="G50" s="2" t="s">
        <v>218</v>
      </c>
      <c r="H50" s="2" t="s">
        <v>88</v>
      </c>
      <c r="I50" s="4"/>
      <c r="J50" s="4"/>
      <c r="K50" s="3"/>
      <c r="L50" s="2"/>
      <c r="M50" s="5"/>
      <c r="N50" s="5"/>
      <c r="O50" s="2"/>
      <c r="P50" s="2"/>
      <c r="Q50" s="2"/>
      <c r="R50" s="2" t="s">
        <v>281</v>
      </c>
      <c r="S50" s="2" t="s">
        <v>34</v>
      </c>
      <c r="T50" s="2" t="s">
        <v>166</v>
      </c>
      <c r="U50" s="2"/>
      <c r="V50" s="2" t="s">
        <v>282</v>
      </c>
      <c r="W50" s="2"/>
      <c r="X50" s="2"/>
      <c r="Y50" s="2"/>
      <c r="Z50" s="2"/>
    </row>
    <row r="51" spans="1:26" ht="40.950000000000003" customHeight="1">
      <c r="A51" s="2" t="s">
        <v>283</v>
      </c>
      <c r="B51" s="2" t="s">
        <v>63</v>
      </c>
      <c r="C51" s="2" t="s">
        <v>284</v>
      </c>
      <c r="D51" s="2" t="s">
        <v>285</v>
      </c>
      <c r="E51" s="2" t="s">
        <v>66</v>
      </c>
      <c r="F51" s="2" t="s">
        <v>29</v>
      </c>
      <c r="G51" s="2" t="s">
        <v>218</v>
      </c>
      <c r="H51" s="2" t="s">
        <v>88</v>
      </c>
      <c r="I51" s="4"/>
      <c r="J51" s="4"/>
      <c r="K51" s="3"/>
      <c r="L51" s="2"/>
      <c r="M51" s="5"/>
      <c r="N51" s="5"/>
      <c r="O51" s="2"/>
      <c r="P51" s="2"/>
      <c r="Q51" s="2"/>
      <c r="R51" s="2" t="s">
        <v>286</v>
      </c>
      <c r="S51" s="2" t="s">
        <v>34</v>
      </c>
      <c r="T51" s="2" t="s">
        <v>166</v>
      </c>
      <c r="U51" s="2"/>
      <c r="V51" s="2"/>
      <c r="W51" s="2"/>
      <c r="X51" s="2"/>
      <c r="Y51" s="2"/>
      <c r="Z51" s="2"/>
    </row>
    <row r="52" spans="1:26" ht="40.950000000000003" customHeight="1">
      <c r="A52" s="2" t="s">
        <v>287</v>
      </c>
      <c r="B52" s="2" t="s">
        <v>63</v>
      </c>
      <c r="C52" s="2" t="s">
        <v>284</v>
      </c>
      <c r="D52" s="2" t="s">
        <v>288</v>
      </c>
      <c r="E52" s="2" t="s">
        <v>66</v>
      </c>
      <c r="F52" s="2" t="s">
        <v>289</v>
      </c>
      <c r="G52" s="2" t="s">
        <v>218</v>
      </c>
      <c r="H52" s="2" t="s">
        <v>88</v>
      </c>
      <c r="I52" s="4"/>
      <c r="J52" s="4"/>
      <c r="K52" s="3"/>
      <c r="L52" s="2"/>
      <c r="M52" s="5"/>
      <c r="N52" s="5"/>
      <c r="O52" s="2"/>
      <c r="P52" s="2"/>
      <c r="Q52" s="2"/>
      <c r="R52" s="2" t="s">
        <v>290</v>
      </c>
      <c r="S52" s="2" t="s">
        <v>34</v>
      </c>
      <c r="T52" s="2" t="s">
        <v>166</v>
      </c>
      <c r="U52" s="2"/>
      <c r="V52" s="2"/>
      <c r="W52" s="2"/>
      <c r="X52" s="2"/>
      <c r="Y52" s="2"/>
      <c r="Z52" s="2"/>
    </row>
    <row r="53" spans="1:26" ht="40.950000000000003" customHeight="1">
      <c r="A53" s="2" t="s">
        <v>291</v>
      </c>
      <c r="B53" s="2" t="s">
        <v>63</v>
      </c>
      <c r="C53" s="2" t="s">
        <v>284</v>
      </c>
      <c r="D53" s="2" t="s">
        <v>292</v>
      </c>
      <c r="E53" s="2" t="s">
        <v>66</v>
      </c>
      <c r="F53" s="2" t="s">
        <v>293</v>
      </c>
      <c r="G53" s="2" t="s">
        <v>218</v>
      </c>
      <c r="H53" s="2" t="s">
        <v>88</v>
      </c>
      <c r="I53" s="4"/>
      <c r="J53" s="4"/>
      <c r="K53" s="3"/>
      <c r="L53" s="2"/>
      <c r="M53" s="5"/>
      <c r="N53" s="5"/>
      <c r="O53" s="2"/>
      <c r="P53" s="2"/>
      <c r="Q53" s="2"/>
      <c r="R53" s="2" t="s">
        <v>294</v>
      </c>
      <c r="S53" s="2" t="s">
        <v>34</v>
      </c>
      <c r="T53" s="2" t="s">
        <v>166</v>
      </c>
      <c r="U53" s="2"/>
      <c r="V53" s="2"/>
      <c r="W53" s="2"/>
      <c r="X53" s="2"/>
      <c r="Y53" s="2"/>
      <c r="Z53" s="2"/>
    </row>
    <row r="54" spans="1:26" ht="40.950000000000003" customHeight="1">
      <c r="A54" s="2" t="s">
        <v>295</v>
      </c>
      <c r="B54" s="2" t="s">
        <v>63</v>
      </c>
      <c r="C54" s="2" t="s">
        <v>296</v>
      </c>
      <c r="D54" s="2" t="s">
        <v>297</v>
      </c>
      <c r="E54" s="2" t="s">
        <v>66</v>
      </c>
      <c r="F54" s="2" t="s">
        <v>193</v>
      </c>
      <c r="G54" s="2" t="s">
        <v>98</v>
      </c>
      <c r="H54" s="2" t="s">
        <v>88</v>
      </c>
      <c r="I54" s="4"/>
      <c r="J54" s="4"/>
      <c r="K54" s="3"/>
      <c r="L54" s="2"/>
      <c r="M54" s="5"/>
      <c r="N54" s="5"/>
      <c r="O54" s="2"/>
      <c r="P54" s="2"/>
      <c r="Q54" s="2"/>
      <c r="R54" s="2" t="s">
        <v>298</v>
      </c>
      <c r="S54" s="2" t="s">
        <v>34</v>
      </c>
      <c r="T54" s="2" t="s">
        <v>166</v>
      </c>
      <c r="U54" s="2"/>
      <c r="V54" s="2"/>
      <c r="W54" s="2"/>
      <c r="X54" s="2"/>
      <c r="Y54" s="2"/>
      <c r="Z54" s="2"/>
    </row>
    <row r="55" spans="1:26" ht="40.950000000000003" customHeight="1">
      <c r="A55" s="2" t="s">
        <v>299</v>
      </c>
      <c r="B55" s="2" t="s">
        <v>300</v>
      </c>
      <c r="C55" s="2" t="s">
        <v>301</v>
      </c>
      <c r="D55" s="2" t="s">
        <v>302</v>
      </c>
      <c r="E55" s="2" t="s">
        <v>303</v>
      </c>
      <c r="F55" s="2" t="s">
        <v>304</v>
      </c>
      <c r="G55" s="2" t="s">
        <v>30</v>
      </c>
      <c r="H55" s="2" t="s">
        <v>31</v>
      </c>
      <c r="I55" s="4">
        <v>0</v>
      </c>
      <c r="J55" s="4"/>
      <c r="K55" s="3"/>
      <c r="L55" s="2" t="s">
        <v>305</v>
      </c>
      <c r="M55" s="5"/>
      <c r="N55" s="5"/>
      <c r="O55" s="2"/>
      <c r="P55" s="2"/>
      <c r="Q55" s="2"/>
      <c r="R55" s="2" t="s">
        <v>306</v>
      </c>
      <c r="S55" s="2" t="s">
        <v>307</v>
      </c>
      <c r="T55" s="2" t="s">
        <v>308</v>
      </c>
      <c r="U55" s="2" t="s">
        <v>309</v>
      </c>
      <c r="V55" s="2" t="s">
        <v>310</v>
      </c>
      <c r="W55" s="2"/>
      <c r="X55" s="2"/>
      <c r="Y55" s="2"/>
      <c r="Z55" s="2"/>
    </row>
    <row r="56" spans="1:26" ht="40.950000000000003" customHeight="1">
      <c r="A56" s="2" t="s">
        <v>311</v>
      </c>
      <c r="B56" s="2" t="s">
        <v>300</v>
      </c>
      <c r="C56" s="2" t="s">
        <v>312</v>
      </c>
      <c r="D56" s="2" t="s">
        <v>313</v>
      </c>
      <c r="E56" s="2" t="s">
        <v>303</v>
      </c>
      <c r="F56" s="2" t="s">
        <v>304</v>
      </c>
      <c r="G56" s="2" t="s">
        <v>30</v>
      </c>
      <c r="H56" s="2" t="s">
        <v>314</v>
      </c>
      <c r="I56" s="4">
        <v>800</v>
      </c>
      <c r="J56" s="4"/>
      <c r="K56" s="3"/>
      <c r="L56" s="2" t="s">
        <v>315</v>
      </c>
      <c r="M56" s="5"/>
      <c r="N56" s="5"/>
      <c r="O56" s="2"/>
      <c r="P56" s="2"/>
      <c r="Q56" s="2"/>
      <c r="R56" s="2" t="s">
        <v>316</v>
      </c>
      <c r="S56" s="2" t="s">
        <v>307</v>
      </c>
      <c r="T56" s="2" t="s">
        <v>308</v>
      </c>
      <c r="U56" s="2" t="s">
        <v>309</v>
      </c>
      <c r="V56" s="2" t="s">
        <v>317</v>
      </c>
      <c r="W56" s="2"/>
      <c r="X56" s="2"/>
      <c r="Y56" s="2"/>
      <c r="Z56" s="2"/>
    </row>
    <row r="57" spans="1:26" ht="40.950000000000003" customHeight="1">
      <c r="A57" s="2" t="s">
        <v>318</v>
      </c>
      <c r="B57" s="2" t="s">
        <v>300</v>
      </c>
      <c r="C57" s="2" t="s">
        <v>319</v>
      </c>
      <c r="D57" s="2" t="s">
        <v>320</v>
      </c>
      <c r="E57" s="2" t="s">
        <v>303</v>
      </c>
      <c r="F57" s="2" t="s">
        <v>181</v>
      </c>
      <c r="G57" s="2" t="s">
        <v>30</v>
      </c>
      <c r="H57" s="2" t="s">
        <v>321</v>
      </c>
      <c r="I57" s="4"/>
      <c r="J57" s="4"/>
      <c r="K57" s="3">
        <v>1.4999999999999999E-2</v>
      </c>
      <c r="L57" s="2" t="s">
        <v>322</v>
      </c>
      <c r="M57" s="5"/>
      <c r="N57" s="5"/>
      <c r="O57" s="2"/>
      <c r="P57" s="2"/>
      <c r="Q57" s="2"/>
      <c r="R57" s="2" t="s">
        <v>323</v>
      </c>
      <c r="S57" s="2" t="s">
        <v>307</v>
      </c>
      <c r="T57" s="2" t="s">
        <v>308</v>
      </c>
      <c r="U57" s="2" t="s">
        <v>309</v>
      </c>
      <c r="V57" s="2" t="s">
        <v>324</v>
      </c>
      <c r="W57" s="2"/>
      <c r="X57" s="2"/>
      <c r="Y57" s="2"/>
      <c r="Z57" s="2"/>
    </row>
    <row r="58" spans="1:26" ht="40.950000000000003" customHeight="1">
      <c r="A58" s="2" t="s">
        <v>325</v>
      </c>
      <c r="B58" s="2" t="s">
        <v>300</v>
      </c>
      <c r="C58" s="2" t="s">
        <v>326</v>
      </c>
      <c r="D58" s="2" t="s">
        <v>327</v>
      </c>
      <c r="E58" s="2" t="s">
        <v>303</v>
      </c>
      <c r="F58" s="2" t="s">
        <v>328</v>
      </c>
      <c r="G58" s="2" t="s">
        <v>30</v>
      </c>
      <c r="H58" s="2" t="s">
        <v>31</v>
      </c>
      <c r="I58" s="4">
        <v>0</v>
      </c>
      <c r="J58" s="4"/>
      <c r="K58" s="3"/>
      <c r="L58" s="2" t="s">
        <v>69</v>
      </c>
      <c r="M58" s="5"/>
      <c r="N58" s="5"/>
      <c r="O58" s="2"/>
      <c r="P58" s="2"/>
      <c r="Q58" s="2"/>
      <c r="R58" s="2" t="s">
        <v>329</v>
      </c>
      <c r="S58" s="2" t="s">
        <v>307</v>
      </c>
      <c r="T58" s="2" t="s">
        <v>308</v>
      </c>
      <c r="U58" s="2" t="s">
        <v>309</v>
      </c>
      <c r="V58" s="2"/>
      <c r="W58" s="2"/>
      <c r="X58" s="2"/>
      <c r="Y58" s="2"/>
      <c r="Z58" s="2"/>
    </row>
    <row r="59" spans="1:26" ht="40.950000000000003" customHeight="1">
      <c r="A59" s="2" t="s">
        <v>330</v>
      </c>
      <c r="B59" s="2" t="s">
        <v>300</v>
      </c>
      <c r="C59" s="2" t="s">
        <v>331</v>
      </c>
      <c r="D59" s="2" t="s">
        <v>332</v>
      </c>
      <c r="E59" s="2" t="s">
        <v>303</v>
      </c>
      <c r="F59" s="2" t="s">
        <v>181</v>
      </c>
      <c r="G59" s="2" t="s">
        <v>218</v>
      </c>
      <c r="H59" s="2" t="s">
        <v>88</v>
      </c>
      <c r="I59" s="4"/>
      <c r="J59" s="4"/>
      <c r="K59" s="3"/>
      <c r="L59" s="2"/>
      <c r="M59" s="5"/>
      <c r="N59" s="5"/>
      <c r="O59" s="2"/>
      <c r="P59" s="2"/>
      <c r="Q59" s="2"/>
      <c r="R59" s="2" t="s">
        <v>333</v>
      </c>
      <c r="S59" s="2" t="s">
        <v>307</v>
      </c>
      <c r="T59" s="2" t="s">
        <v>166</v>
      </c>
      <c r="U59" s="2"/>
      <c r="V59" s="2" t="s">
        <v>334</v>
      </c>
      <c r="W59" s="2"/>
      <c r="X59" s="2"/>
      <c r="Y59" s="2"/>
      <c r="Z59" s="2"/>
    </row>
    <row r="60" spans="1:26" ht="40.950000000000003" customHeight="1">
      <c r="A60" s="2" t="s">
        <v>335</v>
      </c>
      <c r="B60" s="2" t="s">
        <v>336</v>
      </c>
      <c r="C60" s="2" t="s">
        <v>337</v>
      </c>
      <c r="D60" s="2" t="s">
        <v>338</v>
      </c>
      <c r="E60" s="2" t="s">
        <v>28</v>
      </c>
      <c r="F60" s="2" t="s">
        <v>104</v>
      </c>
      <c r="G60" s="2" t="s">
        <v>30</v>
      </c>
      <c r="H60" s="2" t="s">
        <v>339</v>
      </c>
      <c r="I60" s="4">
        <v>1000</v>
      </c>
      <c r="J60" s="4"/>
      <c r="K60" s="3"/>
      <c r="L60" s="2" t="s">
        <v>340</v>
      </c>
      <c r="M60" s="5"/>
      <c r="N60" s="5"/>
      <c r="O60" s="2"/>
      <c r="P60" s="2"/>
      <c r="Q60" s="2"/>
      <c r="R60" s="2" t="s">
        <v>341</v>
      </c>
      <c r="S60" s="2" t="s">
        <v>34</v>
      </c>
      <c r="T60" s="2" t="s">
        <v>342</v>
      </c>
      <c r="U60" s="2"/>
      <c r="V60" s="2"/>
      <c r="W60" s="2"/>
      <c r="X60" s="2"/>
      <c r="Y60" s="2"/>
      <c r="Z60" s="2"/>
    </row>
    <row r="61" spans="1:26" ht="40.950000000000003" customHeight="1">
      <c r="A61" s="2" t="s">
        <v>343</v>
      </c>
      <c r="B61" s="2" t="s">
        <v>336</v>
      </c>
      <c r="C61" s="2" t="s">
        <v>337</v>
      </c>
      <c r="D61" s="2" t="s">
        <v>344</v>
      </c>
      <c r="E61" s="2" t="s">
        <v>303</v>
      </c>
      <c r="F61" s="2" t="s">
        <v>104</v>
      </c>
      <c r="G61" s="2" t="s">
        <v>30</v>
      </c>
      <c r="H61" s="2" t="s">
        <v>345</v>
      </c>
      <c r="I61" s="4">
        <v>4200</v>
      </c>
      <c r="J61" s="4"/>
      <c r="K61" s="3"/>
      <c r="L61" s="2" t="s">
        <v>340</v>
      </c>
      <c r="M61" s="5"/>
      <c r="N61" s="5"/>
      <c r="O61" s="2"/>
      <c r="P61" s="2"/>
      <c r="Q61" s="2"/>
      <c r="R61" s="2" t="s">
        <v>341</v>
      </c>
      <c r="S61" s="2" t="s">
        <v>34</v>
      </c>
      <c r="T61" s="2" t="s">
        <v>342</v>
      </c>
      <c r="U61" s="2"/>
      <c r="V61" s="2"/>
      <c r="W61" s="2"/>
      <c r="X61" s="2"/>
      <c r="Y61" s="2"/>
      <c r="Z61" s="2"/>
    </row>
    <row r="62" spans="1:26" ht="40.950000000000003" customHeight="1">
      <c r="A62" s="2" t="s">
        <v>346</v>
      </c>
      <c r="B62" s="2" t="s">
        <v>300</v>
      </c>
      <c r="C62" s="2" t="s">
        <v>347</v>
      </c>
      <c r="D62" s="2" t="s">
        <v>348</v>
      </c>
      <c r="E62" s="2" t="s">
        <v>303</v>
      </c>
      <c r="F62" s="2" t="s">
        <v>304</v>
      </c>
      <c r="G62" s="2" t="s">
        <v>30</v>
      </c>
      <c r="H62" s="2" t="s">
        <v>349</v>
      </c>
      <c r="I62" s="4">
        <v>300</v>
      </c>
      <c r="J62" s="4"/>
      <c r="K62" s="3"/>
      <c r="L62" s="2" t="s">
        <v>315</v>
      </c>
      <c r="M62" s="5"/>
      <c r="N62" s="5"/>
      <c r="O62" s="2"/>
      <c r="P62" s="2"/>
      <c r="Q62" s="2"/>
      <c r="R62" s="2" t="s">
        <v>350</v>
      </c>
      <c r="S62" s="2" t="s">
        <v>307</v>
      </c>
      <c r="T62" s="2" t="s">
        <v>342</v>
      </c>
      <c r="U62" s="2"/>
      <c r="V62" s="2" t="s">
        <v>351</v>
      </c>
      <c r="W62" s="2"/>
      <c r="X62" s="2"/>
      <c r="Y62" s="2"/>
      <c r="Z62" s="2"/>
    </row>
    <row r="63" spans="1:26" ht="40.950000000000003" customHeight="1">
      <c r="A63" s="2" t="s">
        <v>352</v>
      </c>
      <c r="B63" s="2" t="s">
        <v>300</v>
      </c>
      <c r="C63" s="2" t="s">
        <v>347</v>
      </c>
      <c r="D63" s="2" t="s">
        <v>353</v>
      </c>
      <c r="E63" s="2" t="s">
        <v>303</v>
      </c>
      <c r="F63" s="2" t="s">
        <v>304</v>
      </c>
      <c r="G63" s="2" t="s">
        <v>30</v>
      </c>
      <c r="H63" s="2" t="s">
        <v>349</v>
      </c>
      <c r="I63" s="4">
        <v>300</v>
      </c>
      <c r="J63" s="4"/>
      <c r="K63" s="3"/>
      <c r="L63" s="2" t="s">
        <v>315</v>
      </c>
      <c r="M63" s="5"/>
      <c r="N63" s="5"/>
      <c r="O63" s="2"/>
      <c r="P63" s="2"/>
      <c r="Q63" s="2"/>
      <c r="R63" s="2" t="s">
        <v>350</v>
      </c>
      <c r="S63" s="2" t="s">
        <v>307</v>
      </c>
      <c r="T63" s="2" t="s">
        <v>342</v>
      </c>
      <c r="U63" s="2"/>
      <c r="V63" s="2" t="s">
        <v>351</v>
      </c>
      <c r="W63" s="2"/>
      <c r="X63" s="2"/>
      <c r="Y63" s="2"/>
      <c r="Z63" s="2"/>
    </row>
    <row r="64" spans="1:26" ht="40.950000000000003" customHeight="1">
      <c r="A64" s="2" t="s">
        <v>354</v>
      </c>
      <c r="B64" s="2" t="s">
        <v>300</v>
      </c>
      <c r="C64" s="2" t="s">
        <v>347</v>
      </c>
      <c r="D64" s="2" t="s">
        <v>355</v>
      </c>
      <c r="E64" s="2" t="s">
        <v>303</v>
      </c>
      <c r="F64" s="2" t="s">
        <v>304</v>
      </c>
      <c r="G64" s="2" t="s">
        <v>30</v>
      </c>
      <c r="H64" s="2" t="s">
        <v>356</v>
      </c>
      <c r="I64" s="4">
        <v>200</v>
      </c>
      <c r="J64" s="4"/>
      <c r="K64" s="3"/>
      <c r="L64" s="2" t="s">
        <v>315</v>
      </c>
      <c r="M64" s="5"/>
      <c r="N64" s="5"/>
      <c r="O64" s="2"/>
      <c r="P64" s="2"/>
      <c r="Q64" s="2"/>
      <c r="R64" s="2" t="s">
        <v>350</v>
      </c>
      <c r="S64" s="2" t="s">
        <v>307</v>
      </c>
      <c r="T64" s="2" t="s">
        <v>342</v>
      </c>
      <c r="U64" s="2"/>
      <c r="V64" s="2" t="s">
        <v>351</v>
      </c>
      <c r="W64" s="2"/>
      <c r="X64" s="2"/>
      <c r="Y64" s="2"/>
      <c r="Z64" s="2"/>
    </row>
    <row r="65" spans="1:26" ht="40.950000000000003" customHeight="1">
      <c r="A65" s="2" t="s">
        <v>357</v>
      </c>
      <c r="B65" s="2" t="s">
        <v>150</v>
      </c>
      <c r="C65" s="2" t="s">
        <v>210</v>
      </c>
      <c r="D65" s="2" t="s">
        <v>358</v>
      </c>
      <c r="E65" s="2" t="s">
        <v>28</v>
      </c>
      <c r="F65" s="2" t="s">
        <v>359</v>
      </c>
      <c r="G65" s="2" t="s">
        <v>30</v>
      </c>
      <c r="H65" s="2" t="s">
        <v>360</v>
      </c>
      <c r="I65" s="4">
        <v>50</v>
      </c>
      <c r="J65" s="4"/>
      <c r="K65" s="3"/>
      <c r="L65" s="2" t="s">
        <v>361</v>
      </c>
      <c r="M65" s="5"/>
      <c r="N65" s="5"/>
      <c r="O65" s="2"/>
      <c r="P65" s="2"/>
      <c r="Q65" s="2"/>
      <c r="R65" s="2"/>
      <c r="S65" s="2" t="s">
        <v>34</v>
      </c>
      <c r="T65" s="2" t="s">
        <v>342</v>
      </c>
      <c r="U65" s="2"/>
      <c r="V65" s="2" t="s">
        <v>362</v>
      </c>
      <c r="W65" s="2"/>
      <c r="X65" s="2"/>
      <c r="Y65" s="2"/>
      <c r="Z65" s="2"/>
    </row>
    <row r="66" spans="1:26" ht="40.950000000000003" customHeight="1">
      <c r="A66" s="2" t="s">
        <v>363</v>
      </c>
      <c r="B66" s="2" t="s">
        <v>150</v>
      </c>
      <c r="C66" s="2" t="s">
        <v>210</v>
      </c>
      <c r="D66" s="2" t="s">
        <v>364</v>
      </c>
      <c r="E66" s="2" t="s">
        <v>28</v>
      </c>
      <c r="F66" s="2" t="s">
        <v>359</v>
      </c>
      <c r="G66" s="2" t="s">
        <v>30</v>
      </c>
      <c r="H66" s="2" t="s">
        <v>365</v>
      </c>
      <c r="I66" s="4">
        <v>12</v>
      </c>
      <c r="J66" s="4">
        <v>24</v>
      </c>
      <c r="K66" s="3"/>
      <c r="L66" s="2" t="s">
        <v>366</v>
      </c>
      <c r="M66" s="5"/>
      <c r="N66" s="5"/>
      <c r="O66" s="2"/>
      <c r="P66" s="2"/>
      <c r="Q66" s="2"/>
      <c r="R66" s="2" t="s">
        <v>367</v>
      </c>
      <c r="S66" s="2" t="s">
        <v>34</v>
      </c>
      <c r="T66" s="2" t="s">
        <v>342</v>
      </c>
      <c r="U66" s="2"/>
      <c r="V66" s="2" t="s">
        <v>368</v>
      </c>
      <c r="W66" s="2"/>
      <c r="X66" s="2"/>
      <c r="Y66" s="2"/>
      <c r="Z66" s="2"/>
    </row>
    <row r="67" spans="1:26" ht="40.950000000000003" customHeight="1">
      <c r="A67" s="2" t="s">
        <v>369</v>
      </c>
      <c r="B67" s="2" t="s">
        <v>150</v>
      </c>
      <c r="C67" s="2" t="s">
        <v>210</v>
      </c>
      <c r="D67" s="2" t="s">
        <v>370</v>
      </c>
      <c r="E67" s="2" t="s">
        <v>28</v>
      </c>
      <c r="F67" s="2" t="s">
        <v>359</v>
      </c>
      <c r="G67" s="2" t="s">
        <v>30</v>
      </c>
      <c r="H67" s="2" t="s">
        <v>371</v>
      </c>
      <c r="I67" s="4">
        <v>50</v>
      </c>
      <c r="J67" s="4"/>
      <c r="K67" s="3"/>
      <c r="L67" s="2" t="s">
        <v>315</v>
      </c>
      <c r="M67" s="5"/>
      <c r="N67" s="5"/>
      <c r="O67" s="2"/>
      <c r="P67" s="2"/>
      <c r="Q67" s="2"/>
      <c r="R67" s="2"/>
      <c r="S67" s="2" t="s">
        <v>34</v>
      </c>
      <c r="T67" s="2" t="s">
        <v>342</v>
      </c>
      <c r="U67" s="2"/>
      <c r="V67" s="2" t="s">
        <v>372</v>
      </c>
      <c r="W67" s="2"/>
      <c r="X67" s="2"/>
      <c r="Y67" s="2"/>
      <c r="Z67" s="2"/>
    </row>
    <row r="68" spans="1:26" ht="40.950000000000003" customHeight="1">
      <c r="A68" s="2" t="s">
        <v>373</v>
      </c>
      <c r="B68" s="2" t="s">
        <v>336</v>
      </c>
      <c r="C68" s="2" t="s">
        <v>374</v>
      </c>
      <c r="D68" s="2" t="s">
        <v>375</v>
      </c>
      <c r="E68" s="2" t="s">
        <v>125</v>
      </c>
      <c r="F68" s="2" t="s">
        <v>104</v>
      </c>
      <c r="G68" s="2" t="s">
        <v>98</v>
      </c>
      <c r="H68" s="2" t="s">
        <v>88</v>
      </c>
      <c r="I68" s="4"/>
      <c r="J68" s="4"/>
      <c r="K68" s="3"/>
      <c r="L68" s="2"/>
      <c r="M68" s="5"/>
      <c r="N68" s="5"/>
      <c r="O68" s="2"/>
      <c r="P68" s="2"/>
      <c r="Q68" s="2"/>
      <c r="R68" s="2" t="s">
        <v>376</v>
      </c>
      <c r="S68" s="2" t="s">
        <v>34</v>
      </c>
      <c r="T68" s="2" t="s">
        <v>342</v>
      </c>
      <c r="U68" s="2"/>
      <c r="V68" s="2" t="s">
        <v>377</v>
      </c>
      <c r="W68" s="2"/>
      <c r="X68" s="2"/>
      <c r="Y68" s="2"/>
      <c r="Z68" s="2"/>
    </row>
    <row r="69" spans="1:26" ht="40.950000000000003" customHeight="1">
      <c r="A69" s="2" t="s">
        <v>378</v>
      </c>
      <c r="B69" s="2" t="s">
        <v>336</v>
      </c>
      <c r="C69" s="2" t="s">
        <v>374</v>
      </c>
      <c r="D69" s="2" t="s">
        <v>379</v>
      </c>
      <c r="E69" s="2" t="s">
        <v>125</v>
      </c>
      <c r="F69" s="2" t="s">
        <v>104</v>
      </c>
      <c r="G69" s="2" t="s">
        <v>98</v>
      </c>
      <c r="H69" s="2" t="s">
        <v>88</v>
      </c>
      <c r="I69" s="4"/>
      <c r="J69" s="4"/>
      <c r="K69" s="3"/>
      <c r="L69" s="2"/>
      <c r="M69" s="5"/>
      <c r="N69" s="5"/>
      <c r="O69" s="2"/>
      <c r="P69" s="2"/>
      <c r="Q69" s="2"/>
      <c r="R69" s="2" t="s">
        <v>380</v>
      </c>
      <c r="S69" s="2" t="s">
        <v>34</v>
      </c>
      <c r="T69" s="2" t="s">
        <v>342</v>
      </c>
      <c r="U69" s="2"/>
      <c r="V69" s="2" t="s">
        <v>381</v>
      </c>
      <c r="W69" s="2"/>
      <c r="X69" s="2"/>
      <c r="Y69" s="2"/>
      <c r="Z69" s="2"/>
    </row>
    <row r="70" spans="1:26" ht="40.950000000000003" customHeight="1">
      <c r="A70" s="2" t="s">
        <v>382</v>
      </c>
      <c r="B70" s="2" t="s">
        <v>336</v>
      </c>
      <c r="C70" s="2" t="s">
        <v>383</v>
      </c>
      <c r="D70" s="2" t="s">
        <v>384</v>
      </c>
      <c r="E70" s="2" t="s">
        <v>125</v>
      </c>
      <c r="F70" s="2" t="s">
        <v>383</v>
      </c>
      <c r="G70" s="2" t="s">
        <v>30</v>
      </c>
      <c r="H70" s="2" t="s">
        <v>76</v>
      </c>
      <c r="I70" s="4">
        <v>30</v>
      </c>
      <c r="J70" s="4"/>
      <c r="K70" s="3"/>
      <c r="L70" s="2" t="s">
        <v>385</v>
      </c>
      <c r="M70" s="5"/>
      <c r="N70" s="5"/>
      <c r="O70" s="2"/>
      <c r="P70" s="2"/>
      <c r="Q70" s="2"/>
      <c r="R70" s="2" t="s">
        <v>386</v>
      </c>
      <c r="S70" s="2" t="s">
        <v>34</v>
      </c>
      <c r="T70" s="2" t="s">
        <v>342</v>
      </c>
      <c r="U70" s="2"/>
      <c r="V70" s="2" t="s">
        <v>387</v>
      </c>
      <c r="W70" s="2"/>
      <c r="X70" s="2"/>
      <c r="Y70" s="2"/>
      <c r="Z70" s="2"/>
    </row>
    <row r="71" spans="1:26" ht="40.950000000000003" customHeight="1">
      <c r="A71" s="2" t="s">
        <v>388</v>
      </c>
      <c r="B71" s="2" t="s">
        <v>336</v>
      </c>
      <c r="C71" s="2" t="s">
        <v>383</v>
      </c>
      <c r="D71" s="2" t="s">
        <v>389</v>
      </c>
      <c r="E71" s="2" t="s">
        <v>125</v>
      </c>
      <c r="F71" s="2" t="s">
        <v>383</v>
      </c>
      <c r="G71" s="2" t="s">
        <v>30</v>
      </c>
      <c r="H71" s="2" t="s">
        <v>390</v>
      </c>
      <c r="I71" s="4">
        <v>55</v>
      </c>
      <c r="J71" s="4"/>
      <c r="K71" s="3"/>
      <c r="L71" s="2" t="s">
        <v>385</v>
      </c>
      <c r="M71" s="5"/>
      <c r="N71" s="5"/>
      <c r="O71" s="2"/>
      <c r="P71" s="2"/>
      <c r="Q71" s="2"/>
      <c r="R71" s="2" t="s">
        <v>386</v>
      </c>
      <c r="S71" s="2" t="s">
        <v>34</v>
      </c>
      <c r="T71" s="2" t="s">
        <v>342</v>
      </c>
      <c r="U71" s="2"/>
      <c r="V71" s="2" t="s">
        <v>387</v>
      </c>
      <c r="W71" s="2"/>
      <c r="X71" s="2"/>
      <c r="Y71" s="2"/>
      <c r="Z71" s="2"/>
    </row>
    <row r="72" spans="1:26" ht="40.950000000000003" customHeight="1">
      <c r="A72" s="2" t="s">
        <v>391</v>
      </c>
      <c r="B72" s="2" t="s">
        <v>336</v>
      </c>
      <c r="C72" s="2" t="s">
        <v>383</v>
      </c>
      <c r="D72" s="2" t="s">
        <v>392</v>
      </c>
      <c r="E72" s="2" t="s">
        <v>125</v>
      </c>
      <c r="F72" s="2" t="s">
        <v>383</v>
      </c>
      <c r="G72" s="2" t="s">
        <v>30</v>
      </c>
      <c r="H72" s="2" t="s">
        <v>393</v>
      </c>
      <c r="I72" s="4">
        <v>2000</v>
      </c>
      <c r="J72" s="4"/>
      <c r="K72" s="3"/>
      <c r="L72" s="2" t="s">
        <v>340</v>
      </c>
      <c r="M72" s="5"/>
      <c r="N72" s="5"/>
      <c r="O72" s="2"/>
      <c r="P72" s="2"/>
      <c r="Q72" s="2"/>
      <c r="R72" s="2" t="s">
        <v>394</v>
      </c>
      <c r="S72" s="2" t="s">
        <v>34</v>
      </c>
      <c r="T72" s="2" t="s">
        <v>342</v>
      </c>
      <c r="U72" s="2"/>
      <c r="V72" s="2"/>
      <c r="W72" s="2"/>
      <c r="X72" s="2"/>
      <c r="Y72" s="2"/>
      <c r="Z72" s="2"/>
    </row>
    <row r="73" spans="1:26" ht="40.950000000000003" customHeight="1">
      <c r="A73" s="2" t="s">
        <v>395</v>
      </c>
      <c r="B73" s="2" t="s">
        <v>336</v>
      </c>
      <c r="C73" s="2" t="s">
        <v>396</v>
      </c>
      <c r="D73" s="2" t="s">
        <v>397</v>
      </c>
      <c r="E73" s="2" t="s">
        <v>125</v>
      </c>
      <c r="F73" s="2" t="s">
        <v>398</v>
      </c>
      <c r="G73" s="2" t="s">
        <v>30</v>
      </c>
      <c r="H73" s="2" t="s">
        <v>399</v>
      </c>
      <c r="I73" s="4"/>
      <c r="J73" s="4"/>
      <c r="K73" s="3"/>
      <c r="L73" s="2"/>
      <c r="M73" s="5"/>
      <c r="N73" s="5"/>
      <c r="O73" s="2"/>
      <c r="P73" s="2"/>
      <c r="Q73" s="2"/>
      <c r="R73" s="2" t="s">
        <v>400</v>
      </c>
      <c r="S73" s="2" t="s">
        <v>34</v>
      </c>
      <c r="T73" s="2" t="s">
        <v>342</v>
      </c>
      <c r="U73" s="2"/>
      <c r="V73" s="2" t="s">
        <v>401</v>
      </c>
      <c r="W73" s="2"/>
      <c r="X73" s="2"/>
      <c r="Y73" s="2"/>
      <c r="Z73" s="2"/>
    </row>
    <row r="74" spans="1:26" ht="40.950000000000003" customHeight="1">
      <c r="A74" s="2" t="s">
        <v>402</v>
      </c>
      <c r="B74" s="2" t="s">
        <v>336</v>
      </c>
      <c r="C74" s="2" t="s">
        <v>403</v>
      </c>
      <c r="D74" s="2" t="s">
        <v>404</v>
      </c>
      <c r="E74" s="2" t="s">
        <v>125</v>
      </c>
      <c r="F74" s="2" t="s">
        <v>405</v>
      </c>
      <c r="G74" s="2" t="s">
        <v>30</v>
      </c>
      <c r="H74" s="2" t="s">
        <v>88</v>
      </c>
      <c r="I74" s="4"/>
      <c r="J74" s="4"/>
      <c r="K74" s="3"/>
      <c r="L74" s="2"/>
      <c r="M74" s="5"/>
      <c r="N74" s="5"/>
      <c r="O74" s="2"/>
      <c r="P74" s="2"/>
      <c r="Q74" s="2"/>
      <c r="R74" s="2" t="s">
        <v>406</v>
      </c>
      <c r="S74" s="2" t="s">
        <v>34</v>
      </c>
      <c r="T74" s="2" t="s">
        <v>342</v>
      </c>
      <c r="U74" s="2"/>
      <c r="V74" s="2" t="s">
        <v>407</v>
      </c>
      <c r="W74" s="2"/>
      <c r="X74" s="2"/>
      <c r="Y74" s="2"/>
      <c r="Z74" s="2"/>
    </row>
    <row r="75" spans="1:26" ht="40.950000000000003" customHeight="1">
      <c r="A75" s="2" t="s">
        <v>408</v>
      </c>
      <c r="B75" s="2" t="s">
        <v>336</v>
      </c>
      <c r="C75" s="2" t="s">
        <v>409</v>
      </c>
      <c r="D75" s="2" t="s">
        <v>410</v>
      </c>
      <c r="E75" s="2" t="s">
        <v>125</v>
      </c>
      <c r="F75" s="2" t="s">
        <v>104</v>
      </c>
      <c r="G75" s="2" t="s">
        <v>30</v>
      </c>
      <c r="H75" s="2" t="s">
        <v>88</v>
      </c>
      <c r="I75" s="4"/>
      <c r="J75" s="4"/>
      <c r="K75" s="3"/>
      <c r="L75" s="2"/>
      <c r="M75" s="5"/>
      <c r="N75" s="5"/>
      <c r="O75" s="2"/>
      <c r="P75" s="2"/>
      <c r="Q75" s="2"/>
      <c r="R75" s="2" t="s">
        <v>411</v>
      </c>
      <c r="S75" s="2" t="s">
        <v>34</v>
      </c>
      <c r="T75" s="2" t="s">
        <v>342</v>
      </c>
      <c r="U75" s="2"/>
      <c r="V75" s="2" t="s">
        <v>412</v>
      </c>
      <c r="W75" s="2"/>
      <c r="X75" s="2"/>
      <c r="Y75" s="2"/>
      <c r="Z75" s="2"/>
    </row>
    <row r="76" spans="1:26" ht="40.950000000000003" customHeight="1">
      <c r="A76" s="2" t="s">
        <v>413</v>
      </c>
      <c r="B76" s="2" t="s">
        <v>336</v>
      </c>
      <c r="C76" s="2" t="s">
        <v>414</v>
      </c>
      <c r="D76" s="2" t="s">
        <v>415</v>
      </c>
      <c r="E76" s="2" t="s">
        <v>125</v>
      </c>
      <c r="F76" s="2" t="s">
        <v>416</v>
      </c>
      <c r="G76" s="2" t="s">
        <v>30</v>
      </c>
      <c r="H76" s="2" t="s">
        <v>417</v>
      </c>
      <c r="I76" s="4"/>
      <c r="J76" s="4"/>
      <c r="K76" s="3"/>
      <c r="L76" s="2" t="s">
        <v>315</v>
      </c>
      <c r="M76" s="5"/>
      <c r="N76" s="5"/>
      <c r="O76" s="2"/>
      <c r="P76" s="2"/>
      <c r="Q76" s="2"/>
      <c r="R76" s="2" t="s">
        <v>418</v>
      </c>
      <c r="S76" s="2" t="s">
        <v>34</v>
      </c>
      <c r="T76" s="2" t="s">
        <v>342</v>
      </c>
      <c r="U76" s="2"/>
      <c r="V76" s="2" t="s">
        <v>419</v>
      </c>
      <c r="W76" s="2"/>
      <c r="X76" s="2"/>
      <c r="Y76" s="2"/>
      <c r="Z76" s="2"/>
    </row>
    <row r="77" spans="1:26" ht="40.950000000000003" customHeight="1">
      <c r="A77" s="2" t="s">
        <v>420</v>
      </c>
      <c r="B77" s="2" t="s">
        <v>336</v>
      </c>
      <c r="C77" s="2" t="s">
        <v>157</v>
      </c>
      <c r="D77" s="2" t="s">
        <v>421</v>
      </c>
      <c r="E77" s="2" t="s">
        <v>125</v>
      </c>
      <c r="F77" s="2" t="s">
        <v>422</v>
      </c>
      <c r="G77" s="2" t="s">
        <v>230</v>
      </c>
      <c r="H77" s="2" t="s">
        <v>423</v>
      </c>
      <c r="I77" s="4"/>
      <c r="J77" s="4"/>
      <c r="K77" s="3"/>
      <c r="L77" s="2"/>
      <c r="M77" s="5"/>
      <c r="N77" s="5"/>
      <c r="O77" s="2"/>
      <c r="P77" s="2">
        <v>365</v>
      </c>
      <c r="Q77" s="2"/>
      <c r="R77" s="2" t="s">
        <v>424</v>
      </c>
      <c r="S77" s="2" t="s">
        <v>34</v>
      </c>
      <c r="T77" s="2" t="s">
        <v>342</v>
      </c>
      <c r="U77" s="2"/>
      <c r="V77" s="2"/>
      <c r="W77" s="2"/>
      <c r="X77" s="2"/>
      <c r="Y77" s="2"/>
      <c r="Z77" s="2"/>
    </row>
    <row r="78" spans="1:26" ht="40.950000000000003" customHeight="1">
      <c r="A78" s="2" t="s">
        <v>425</v>
      </c>
      <c r="B78" s="2" t="s">
        <v>336</v>
      </c>
      <c r="C78" s="2" t="s">
        <v>157</v>
      </c>
      <c r="D78" s="2" t="s">
        <v>426</v>
      </c>
      <c r="E78" s="2" t="s">
        <v>125</v>
      </c>
      <c r="F78" s="2" t="s">
        <v>427</v>
      </c>
      <c r="G78" s="2" t="s">
        <v>230</v>
      </c>
      <c r="H78" s="2" t="s">
        <v>428</v>
      </c>
      <c r="I78" s="4"/>
      <c r="J78" s="4"/>
      <c r="K78" s="3"/>
      <c r="L78" s="2"/>
      <c r="M78" s="5"/>
      <c r="N78" s="5"/>
      <c r="O78" s="2"/>
      <c r="P78" s="2"/>
      <c r="Q78" s="2">
        <v>6</v>
      </c>
      <c r="R78" s="2" t="s">
        <v>424</v>
      </c>
      <c r="S78" s="2" t="s">
        <v>34</v>
      </c>
      <c r="T78" s="2" t="s">
        <v>342</v>
      </c>
      <c r="U78" s="2"/>
      <c r="V78" s="2" t="s">
        <v>429</v>
      </c>
      <c r="W78" s="2"/>
      <c r="X78" s="2"/>
      <c r="Y78" s="2"/>
      <c r="Z78" s="2"/>
    </row>
    <row r="79" spans="1:26" ht="40.950000000000003" customHeight="1">
      <c r="A79" s="2" t="s">
        <v>430</v>
      </c>
      <c r="B79" s="2" t="s">
        <v>336</v>
      </c>
      <c r="C79" s="2" t="s">
        <v>431</v>
      </c>
      <c r="D79" s="2" t="s">
        <v>432</v>
      </c>
      <c r="E79" s="2" t="s">
        <v>125</v>
      </c>
      <c r="F79" s="2" t="s">
        <v>433</v>
      </c>
      <c r="G79" s="2" t="s">
        <v>30</v>
      </c>
      <c r="H79" s="2" t="s">
        <v>31</v>
      </c>
      <c r="I79" s="4">
        <v>0</v>
      </c>
      <c r="J79" s="4"/>
      <c r="K79" s="3"/>
      <c r="L79" s="2" t="s">
        <v>434</v>
      </c>
      <c r="M79" s="5"/>
      <c r="N79" s="5"/>
      <c r="O79" s="2"/>
      <c r="P79" s="2"/>
      <c r="Q79" s="2"/>
      <c r="R79" s="2" t="s">
        <v>435</v>
      </c>
      <c r="S79" s="2" t="s">
        <v>34</v>
      </c>
      <c r="T79" s="2" t="s">
        <v>342</v>
      </c>
      <c r="U79" s="2"/>
      <c r="V79" s="2"/>
      <c r="W79" s="2"/>
      <c r="X79" s="2"/>
      <c r="Y79" s="2"/>
      <c r="Z79" s="2"/>
    </row>
  </sheetData>
  <mergeCells count="2">
    <mergeCell ref="A1:Z1"/>
    <mergeCell ref="A2:Z2"/>
  </mergeCells>
  <conditionalFormatting sqref="V5:V79">
    <cfRule type="expression" dxfId="0" priority="1">
      <formula>LEN(V5)&gt;0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K1" workbookViewId="0">
      <pane ySplit="4" topLeftCell="A16" activePane="bottomLeft" state="frozen"/>
      <selection pane="bottomLeft" activeCell="M24" sqref="M24"/>
    </sheetView>
  </sheetViews>
  <sheetFormatPr baseColWidth="10" defaultColWidth="8.796875" defaultRowHeight="13.8"/>
  <cols>
    <col min="1" max="1" width="14" customWidth="1"/>
    <col min="2" max="2" width="26" customWidth="1"/>
    <col min="3" max="3" width="51" customWidth="1"/>
    <col min="4" max="5" width="29" customWidth="1"/>
    <col min="6" max="6" width="34" customWidth="1"/>
    <col min="7" max="7" width="18" customWidth="1"/>
    <col min="8" max="9" width="17" customWidth="1"/>
    <col min="10" max="10" width="27" customWidth="1"/>
    <col min="11" max="11" width="64" customWidth="1"/>
    <col min="12" max="12" width="16" customWidth="1"/>
    <col min="13" max="13" width="58" customWidth="1"/>
    <col min="14" max="14" width="20" customWidth="1"/>
    <col min="15" max="15" width="21" customWidth="1"/>
  </cols>
  <sheetData>
    <row r="1" spans="1:15" ht="31.95" customHeight="1">
      <c r="A1" s="9" t="s">
        <v>436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42" customHeight="1">
      <c r="A2" s="10" t="s">
        <v>437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7.049999999999997" customHeight="1">
      <c r="A4" s="1" t="s">
        <v>438</v>
      </c>
      <c r="B4" s="1" t="s">
        <v>4</v>
      </c>
      <c r="C4" s="1" t="s">
        <v>439</v>
      </c>
      <c r="D4" s="1" t="s">
        <v>6</v>
      </c>
      <c r="E4" s="1" t="s">
        <v>7</v>
      </c>
      <c r="F4" s="1" t="s">
        <v>440</v>
      </c>
      <c r="G4" s="1" t="s">
        <v>441</v>
      </c>
      <c r="H4" s="1" t="s">
        <v>442</v>
      </c>
      <c r="I4" s="1" t="s">
        <v>443</v>
      </c>
      <c r="J4" s="1" t="s">
        <v>444</v>
      </c>
      <c r="K4" s="1" t="s">
        <v>19</v>
      </c>
      <c r="L4" s="1" t="s">
        <v>445</v>
      </c>
      <c r="M4" s="1" t="s">
        <v>446</v>
      </c>
      <c r="N4" s="1" t="s">
        <v>447</v>
      </c>
    </row>
    <row r="5" spans="1:15" ht="45" customHeight="1">
      <c r="A5" s="2" t="s">
        <v>24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31</v>
      </c>
      <c r="G5" s="2">
        <v>0</v>
      </c>
      <c r="H5" s="2"/>
      <c r="I5" s="3"/>
      <c r="J5" s="2" t="s">
        <v>32</v>
      </c>
      <c r="K5" s="2" t="s">
        <v>33</v>
      </c>
      <c r="L5" s="2" t="s">
        <v>35</v>
      </c>
      <c r="M5" s="2" t="s">
        <v>36</v>
      </c>
      <c r="N5" s="2" t="s">
        <v>30</v>
      </c>
    </row>
    <row r="6" spans="1:15" ht="45" customHeight="1">
      <c r="A6" s="2" t="s">
        <v>37</v>
      </c>
      <c r="B6" s="2" t="s">
        <v>26</v>
      </c>
      <c r="C6" s="2" t="s">
        <v>38</v>
      </c>
      <c r="D6" s="2" t="s">
        <v>28</v>
      </c>
      <c r="E6" s="2" t="s">
        <v>39</v>
      </c>
      <c r="F6" s="2" t="s">
        <v>31</v>
      </c>
      <c r="G6" s="2">
        <v>0</v>
      </c>
      <c r="H6" s="2"/>
      <c r="I6" s="3"/>
      <c r="J6" s="2" t="s">
        <v>40</v>
      </c>
      <c r="K6" s="2"/>
      <c r="L6" s="2" t="s">
        <v>35</v>
      </c>
      <c r="M6" s="2" t="s">
        <v>41</v>
      </c>
      <c r="N6" s="2" t="s">
        <v>30</v>
      </c>
    </row>
    <row r="7" spans="1:15" ht="45" customHeight="1">
      <c r="A7" s="2" t="s">
        <v>42</v>
      </c>
      <c r="B7" s="2" t="s">
        <v>43</v>
      </c>
      <c r="C7" s="2" t="s">
        <v>44</v>
      </c>
      <c r="D7" s="2" t="s">
        <v>28</v>
      </c>
      <c r="E7" s="2" t="s">
        <v>29</v>
      </c>
      <c r="F7" s="2" t="s">
        <v>31</v>
      </c>
      <c r="G7" s="2">
        <v>0</v>
      </c>
      <c r="H7" s="2"/>
      <c r="I7" s="3"/>
      <c r="J7" s="2" t="s">
        <v>45</v>
      </c>
      <c r="K7" s="2" t="s">
        <v>46</v>
      </c>
      <c r="L7" s="2" t="s">
        <v>35</v>
      </c>
      <c r="M7" s="2" t="s">
        <v>448</v>
      </c>
      <c r="N7" s="2" t="s">
        <v>30</v>
      </c>
    </row>
    <row r="8" spans="1:15" ht="45" customHeight="1">
      <c r="A8" s="2" t="s">
        <v>47</v>
      </c>
      <c r="B8" s="2" t="s">
        <v>43</v>
      </c>
      <c r="C8" s="2" t="s">
        <v>48</v>
      </c>
      <c r="D8" s="2" t="s">
        <v>28</v>
      </c>
      <c r="E8" s="2" t="s">
        <v>29</v>
      </c>
      <c r="F8" s="2" t="s">
        <v>31</v>
      </c>
      <c r="G8" s="2">
        <v>0</v>
      </c>
      <c r="H8" s="2"/>
      <c r="I8" s="3"/>
      <c r="J8" s="2" t="s">
        <v>45</v>
      </c>
      <c r="K8" s="2" t="s">
        <v>46</v>
      </c>
      <c r="L8" s="2" t="s">
        <v>35</v>
      </c>
      <c r="M8" s="2" t="s">
        <v>448</v>
      </c>
      <c r="N8" s="2" t="s">
        <v>30</v>
      </c>
    </row>
    <row r="9" spans="1:15" ht="45" customHeight="1">
      <c r="A9" s="2" t="s">
        <v>49</v>
      </c>
      <c r="B9" s="2" t="s">
        <v>50</v>
      </c>
      <c r="C9" s="2" t="s">
        <v>51</v>
      </c>
      <c r="D9" s="2" t="s">
        <v>28</v>
      </c>
      <c r="E9" s="2" t="s">
        <v>52</v>
      </c>
      <c r="F9" s="2" t="s">
        <v>53</v>
      </c>
      <c r="G9" s="2"/>
      <c r="H9" s="2"/>
      <c r="I9" s="3"/>
      <c r="J9" s="2"/>
      <c r="K9" s="2" t="s">
        <v>54</v>
      </c>
      <c r="L9" s="2" t="s">
        <v>35</v>
      </c>
      <c r="M9" s="2" t="s">
        <v>55</v>
      </c>
      <c r="N9" s="2" t="s">
        <v>30</v>
      </c>
    </row>
    <row r="10" spans="1:15" ht="45" customHeight="1">
      <c r="A10" s="2" t="s">
        <v>56</v>
      </c>
      <c r="B10" s="2" t="s">
        <v>57</v>
      </c>
      <c r="C10" s="2" t="s">
        <v>58</v>
      </c>
      <c r="D10" s="2" t="s">
        <v>28</v>
      </c>
      <c r="E10" s="2" t="s">
        <v>59</v>
      </c>
      <c r="F10" s="2" t="s">
        <v>31</v>
      </c>
      <c r="G10" s="2">
        <v>0</v>
      </c>
      <c r="H10" s="2"/>
      <c r="I10" s="3"/>
      <c r="J10" s="2" t="s">
        <v>45</v>
      </c>
      <c r="K10" s="2" t="s">
        <v>60</v>
      </c>
      <c r="L10" s="2" t="s">
        <v>35</v>
      </c>
      <c r="M10" s="2" t="s">
        <v>61</v>
      </c>
      <c r="N10" s="2" t="s">
        <v>30</v>
      </c>
    </row>
    <row r="11" spans="1:15" ht="45" customHeight="1">
      <c r="A11" s="2" t="s">
        <v>85</v>
      </c>
      <c r="B11" s="2" t="s">
        <v>86</v>
      </c>
      <c r="C11" s="2" t="s">
        <v>87</v>
      </c>
      <c r="D11" s="2" t="s">
        <v>28</v>
      </c>
      <c r="E11" s="2" t="s">
        <v>29</v>
      </c>
      <c r="F11" s="2" t="s">
        <v>88</v>
      </c>
      <c r="G11" s="2"/>
      <c r="H11" s="2"/>
      <c r="I11" s="3"/>
      <c r="J11" s="2"/>
      <c r="K11" s="2"/>
      <c r="L11" s="2" t="s">
        <v>35</v>
      </c>
      <c r="M11" s="2" t="s">
        <v>89</v>
      </c>
      <c r="N11" s="2" t="s">
        <v>30</v>
      </c>
    </row>
    <row r="12" spans="1:15" ht="45" customHeight="1">
      <c r="A12" s="2" t="s">
        <v>90</v>
      </c>
      <c r="B12" s="2" t="s">
        <v>86</v>
      </c>
      <c r="C12" s="2" t="s">
        <v>91</v>
      </c>
      <c r="D12" s="2" t="s">
        <v>28</v>
      </c>
      <c r="E12" s="2" t="s">
        <v>92</v>
      </c>
      <c r="F12" s="2" t="s">
        <v>31</v>
      </c>
      <c r="G12" s="2">
        <v>0</v>
      </c>
      <c r="H12" s="2"/>
      <c r="I12" s="3"/>
      <c r="J12" s="2" t="s">
        <v>69</v>
      </c>
      <c r="K12" s="2" t="s">
        <v>93</v>
      </c>
      <c r="L12" s="2" t="s">
        <v>35</v>
      </c>
      <c r="M12" s="2" t="s">
        <v>94</v>
      </c>
      <c r="N12" s="2" t="s">
        <v>30</v>
      </c>
    </row>
    <row r="13" spans="1:15" ht="45" customHeight="1">
      <c r="A13" s="2" t="s">
        <v>95</v>
      </c>
      <c r="B13" s="2" t="s">
        <v>96</v>
      </c>
      <c r="C13" s="2" t="s">
        <v>97</v>
      </c>
      <c r="D13" s="2" t="s">
        <v>28</v>
      </c>
      <c r="E13" s="2" t="s">
        <v>29</v>
      </c>
      <c r="F13" s="2" t="s">
        <v>88</v>
      </c>
      <c r="G13" s="2"/>
      <c r="H13" s="2"/>
      <c r="I13" s="3"/>
      <c r="J13" s="2"/>
      <c r="K13" s="2" t="s">
        <v>99</v>
      </c>
      <c r="L13" s="2" t="s">
        <v>35</v>
      </c>
      <c r="M13" s="2" t="s">
        <v>100</v>
      </c>
      <c r="N13" s="2" t="s">
        <v>98</v>
      </c>
    </row>
    <row r="14" spans="1:15" ht="45" customHeight="1">
      <c r="A14" s="2" t="s">
        <v>101</v>
      </c>
      <c r="B14" s="2" t="s">
        <v>102</v>
      </c>
      <c r="C14" s="2" t="s">
        <v>103</v>
      </c>
      <c r="D14" s="2" t="s">
        <v>28</v>
      </c>
      <c r="E14" s="2" t="s">
        <v>104</v>
      </c>
      <c r="F14" s="2" t="s">
        <v>88</v>
      </c>
      <c r="G14" s="2"/>
      <c r="H14" s="2"/>
      <c r="I14" s="3"/>
      <c r="J14" s="2"/>
      <c r="K14" s="2" t="s">
        <v>105</v>
      </c>
      <c r="L14" s="2" t="s">
        <v>35</v>
      </c>
      <c r="M14" s="2" t="s">
        <v>106</v>
      </c>
      <c r="N14" s="2" t="s">
        <v>30</v>
      </c>
    </row>
    <row r="15" spans="1:15" ht="45" customHeight="1">
      <c r="A15" s="2" t="s">
        <v>107</v>
      </c>
      <c r="B15" s="2" t="s">
        <v>102</v>
      </c>
      <c r="C15" s="2" t="s">
        <v>108</v>
      </c>
      <c r="D15" s="2" t="s">
        <v>28</v>
      </c>
      <c r="E15" s="2" t="s">
        <v>104</v>
      </c>
      <c r="F15" s="2" t="s">
        <v>88</v>
      </c>
      <c r="G15" s="2"/>
      <c r="H15" s="2"/>
      <c r="I15" s="3"/>
      <c r="J15" s="2"/>
      <c r="K15" s="2" t="s">
        <v>109</v>
      </c>
      <c r="L15" s="2" t="s">
        <v>35</v>
      </c>
      <c r="M15" s="2" t="s">
        <v>110</v>
      </c>
      <c r="N15" s="2" t="s">
        <v>30</v>
      </c>
    </row>
    <row r="16" spans="1:15" ht="45" customHeight="1">
      <c r="A16" s="2" t="s">
        <v>111</v>
      </c>
      <c r="B16" s="2" t="s">
        <v>50</v>
      </c>
      <c r="C16" s="2" t="s">
        <v>112</v>
      </c>
      <c r="D16" s="2" t="s">
        <v>28</v>
      </c>
      <c r="E16" s="2" t="s">
        <v>113</v>
      </c>
      <c r="F16" s="2" t="s">
        <v>88</v>
      </c>
      <c r="G16" s="2"/>
      <c r="H16" s="2"/>
      <c r="I16" s="3"/>
      <c r="J16" s="2"/>
      <c r="K16" s="2" t="s">
        <v>114</v>
      </c>
      <c r="L16" s="2" t="s">
        <v>35</v>
      </c>
      <c r="M16" s="2" t="s">
        <v>115</v>
      </c>
      <c r="N16" s="2" t="s">
        <v>30</v>
      </c>
    </row>
    <row r="17" spans="1:14" ht="45" customHeight="1">
      <c r="A17" s="2" t="s">
        <v>116</v>
      </c>
      <c r="B17" s="2" t="s">
        <v>117</v>
      </c>
      <c r="C17" s="2" t="s">
        <v>118</v>
      </c>
      <c r="D17" s="2" t="s">
        <v>28</v>
      </c>
      <c r="E17" s="2" t="s">
        <v>104</v>
      </c>
      <c r="F17" s="2" t="s">
        <v>88</v>
      </c>
      <c r="G17" s="2"/>
      <c r="H17" s="2"/>
      <c r="I17" s="3"/>
      <c r="J17" s="2"/>
      <c r="K17" s="2" t="s">
        <v>119</v>
      </c>
      <c r="L17" s="2" t="s">
        <v>35</v>
      </c>
      <c r="M17" s="2" t="s">
        <v>120</v>
      </c>
      <c r="N17" s="2" t="s">
        <v>30</v>
      </c>
    </row>
    <row r="18" spans="1:14" ht="45" customHeight="1">
      <c r="A18" s="2" t="s">
        <v>128</v>
      </c>
      <c r="B18" s="2" t="s">
        <v>129</v>
      </c>
      <c r="C18" s="2" t="s">
        <v>130</v>
      </c>
      <c r="D18" s="2" t="s">
        <v>125</v>
      </c>
      <c r="E18" s="2" t="s">
        <v>29</v>
      </c>
      <c r="F18" s="2" t="s">
        <v>31</v>
      </c>
      <c r="G18" s="2">
        <v>0</v>
      </c>
      <c r="H18" s="2"/>
      <c r="I18" s="3"/>
      <c r="J18" s="2" t="s">
        <v>131</v>
      </c>
      <c r="K18" s="2" t="s">
        <v>132</v>
      </c>
      <c r="L18" s="2" t="s">
        <v>35</v>
      </c>
      <c r="M18" s="2" t="s">
        <v>133</v>
      </c>
      <c r="N18" s="2" t="s">
        <v>30</v>
      </c>
    </row>
    <row r="19" spans="1:14" ht="45" customHeight="1">
      <c r="A19" s="2" t="s">
        <v>134</v>
      </c>
      <c r="B19" s="2" t="s">
        <v>135</v>
      </c>
      <c r="C19" s="2" t="s">
        <v>136</v>
      </c>
      <c r="D19" s="2" t="s">
        <v>125</v>
      </c>
      <c r="E19" s="2" t="s">
        <v>137</v>
      </c>
      <c r="F19" s="2" t="s">
        <v>88</v>
      </c>
      <c r="G19" s="2"/>
      <c r="H19" s="2"/>
      <c r="I19" s="3"/>
      <c r="J19" s="2"/>
      <c r="K19" s="2" t="s">
        <v>138</v>
      </c>
      <c r="L19" s="2" t="s">
        <v>35</v>
      </c>
      <c r="M19" s="2" t="s">
        <v>139</v>
      </c>
      <c r="N19" s="2" t="s">
        <v>30</v>
      </c>
    </row>
    <row r="20" spans="1:14" ht="45" customHeight="1">
      <c r="A20" s="2" t="s">
        <v>140</v>
      </c>
      <c r="B20" s="2" t="s">
        <v>26</v>
      </c>
      <c r="C20" s="2" t="s">
        <v>141</v>
      </c>
      <c r="D20" s="2" t="s">
        <v>28</v>
      </c>
      <c r="E20" s="2" t="s">
        <v>142</v>
      </c>
      <c r="F20" s="2" t="s">
        <v>31</v>
      </c>
      <c r="G20" s="2">
        <v>0</v>
      </c>
      <c r="H20" s="2"/>
      <c r="I20" s="3"/>
      <c r="J20" s="2" t="s">
        <v>143</v>
      </c>
      <c r="K20" s="2" t="s">
        <v>144</v>
      </c>
      <c r="L20" s="2" t="s">
        <v>35</v>
      </c>
      <c r="M20" s="2" t="s">
        <v>448</v>
      </c>
      <c r="N20" s="2" t="s">
        <v>30</v>
      </c>
    </row>
    <row r="21" spans="1:14" ht="45" customHeight="1">
      <c r="A21" s="2" t="s">
        <v>145</v>
      </c>
      <c r="B21" s="2" t="s">
        <v>86</v>
      </c>
      <c r="C21" s="2" t="s">
        <v>146</v>
      </c>
      <c r="D21" s="2" t="s">
        <v>28</v>
      </c>
      <c r="E21" s="2" t="s">
        <v>29</v>
      </c>
      <c r="F21" s="2" t="s">
        <v>53</v>
      </c>
      <c r="G21" s="2"/>
      <c r="H21" s="2"/>
      <c r="I21" s="3"/>
      <c r="J21" s="2"/>
      <c r="K21" s="2" t="s">
        <v>147</v>
      </c>
      <c r="L21" s="2" t="s">
        <v>35</v>
      </c>
      <c r="M21" s="2" t="s">
        <v>148</v>
      </c>
      <c r="N21" s="2" t="s">
        <v>30</v>
      </c>
    </row>
    <row r="22" spans="1:14" ht="45" customHeight="1">
      <c r="A22" s="2" t="s">
        <v>156</v>
      </c>
      <c r="B22" s="2" t="s">
        <v>157</v>
      </c>
      <c r="C22" s="2" t="s">
        <v>158</v>
      </c>
      <c r="D22" s="2" t="s">
        <v>28</v>
      </c>
      <c r="E22" s="2" t="s">
        <v>104</v>
      </c>
      <c r="F22" s="2" t="s">
        <v>88</v>
      </c>
      <c r="G22" s="2"/>
      <c r="H22" s="2"/>
      <c r="I22" s="3"/>
      <c r="J22" s="2"/>
      <c r="K22" s="2" t="s">
        <v>159</v>
      </c>
      <c r="L22" s="2" t="s">
        <v>35</v>
      </c>
      <c r="M22" s="2" t="s">
        <v>160</v>
      </c>
      <c r="N22" s="2" t="s">
        <v>98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J1" workbookViewId="0">
      <pane ySplit="4" topLeftCell="A24" activePane="bottomLeft" state="frozen"/>
      <selection pane="bottomLeft" activeCell="M29" sqref="M29"/>
    </sheetView>
  </sheetViews>
  <sheetFormatPr baseColWidth="10" defaultColWidth="8.796875" defaultRowHeight="13.8"/>
  <cols>
    <col min="1" max="1" width="14" customWidth="1"/>
    <col min="2" max="2" width="26" customWidth="1"/>
    <col min="3" max="3" width="51" customWidth="1"/>
    <col min="4" max="5" width="29" customWidth="1"/>
    <col min="6" max="6" width="34" customWidth="1"/>
    <col min="7" max="7" width="18" customWidth="1"/>
    <col min="8" max="9" width="17" customWidth="1"/>
    <col min="10" max="10" width="27" customWidth="1"/>
    <col min="11" max="11" width="64" customWidth="1"/>
    <col min="12" max="12" width="16" customWidth="1"/>
    <col min="13" max="13" width="58" customWidth="1"/>
    <col min="14" max="14" width="20" customWidth="1"/>
    <col min="15" max="15" width="21" customWidth="1"/>
  </cols>
  <sheetData>
    <row r="1" spans="1:15" ht="31.95" customHeight="1">
      <c r="A1" s="9" t="s">
        <v>449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42" customHeight="1">
      <c r="A2" s="10" t="s">
        <v>450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7.049999999999997" customHeight="1">
      <c r="A4" s="1" t="s">
        <v>438</v>
      </c>
      <c r="B4" s="1" t="s">
        <v>4</v>
      </c>
      <c r="C4" s="1" t="s">
        <v>439</v>
      </c>
      <c r="D4" s="1" t="s">
        <v>6</v>
      </c>
      <c r="E4" s="1" t="s">
        <v>7</v>
      </c>
      <c r="F4" s="1" t="s">
        <v>440</v>
      </c>
      <c r="G4" s="1" t="s">
        <v>441</v>
      </c>
      <c r="H4" s="1" t="s">
        <v>442</v>
      </c>
      <c r="I4" s="1" t="s">
        <v>443</v>
      </c>
      <c r="J4" s="1" t="s">
        <v>444</v>
      </c>
      <c r="K4" s="1" t="s">
        <v>19</v>
      </c>
      <c r="L4" s="1" t="s">
        <v>445</v>
      </c>
      <c r="M4" s="1" t="s">
        <v>446</v>
      </c>
      <c r="N4" s="1" t="s">
        <v>447</v>
      </c>
    </row>
    <row r="5" spans="1:15" ht="45" customHeight="1">
      <c r="A5" s="2" t="s">
        <v>62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68</v>
      </c>
      <c r="G5" s="2">
        <v>200</v>
      </c>
      <c r="H5" s="2"/>
      <c r="I5" s="3"/>
      <c r="J5" s="2" t="s">
        <v>69</v>
      </c>
      <c r="K5" s="2" t="s">
        <v>70</v>
      </c>
      <c r="L5" s="2" t="s">
        <v>71</v>
      </c>
      <c r="M5" s="2" t="s">
        <v>448</v>
      </c>
      <c r="N5" s="2" t="s">
        <v>30</v>
      </c>
    </row>
    <row r="6" spans="1:15" ht="45" customHeight="1">
      <c r="A6" s="2" t="s">
        <v>73</v>
      </c>
      <c r="B6" s="2" t="s">
        <v>64</v>
      </c>
      <c r="C6" s="2" t="s">
        <v>74</v>
      </c>
      <c r="D6" s="2" t="s">
        <v>66</v>
      </c>
      <c r="E6" s="2" t="s">
        <v>75</v>
      </c>
      <c r="F6" s="2" t="s">
        <v>76</v>
      </c>
      <c r="G6" s="2">
        <v>30</v>
      </c>
      <c r="H6" s="2"/>
      <c r="I6" s="3"/>
      <c r="J6" s="2" t="s">
        <v>45</v>
      </c>
      <c r="K6" s="2"/>
      <c r="L6" s="2" t="s">
        <v>71</v>
      </c>
      <c r="M6" s="2"/>
      <c r="N6" s="2" t="s">
        <v>30</v>
      </c>
    </row>
    <row r="7" spans="1:15" ht="45" customHeight="1">
      <c r="A7" s="2" t="s">
        <v>77</v>
      </c>
      <c r="B7" s="2" t="s">
        <v>78</v>
      </c>
      <c r="C7" s="2" t="s">
        <v>79</v>
      </c>
      <c r="D7" s="2" t="s">
        <v>66</v>
      </c>
      <c r="E7" s="2" t="s">
        <v>80</v>
      </c>
      <c r="F7" s="2" t="s">
        <v>81</v>
      </c>
      <c r="G7" s="2">
        <v>350</v>
      </c>
      <c r="H7" s="2"/>
      <c r="I7" s="3"/>
      <c r="J7" s="2" t="s">
        <v>82</v>
      </c>
      <c r="K7" s="2" t="s">
        <v>932</v>
      </c>
      <c r="L7" s="2" t="s">
        <v>71</v>
      </c>
      <c r="M7" s="2"/>
      <c r="N7" s="2" t="s">
        <v>30</v>
      </c>
    </row>
    <row r="8" spans="1:15" ht="45" customHeight="1">
      <c r="A8" s="2" t="s">
        <v>161</v>
      </c>
      <c r="B8" s="2" t="s">
        <v>162</v>
      </c>
      <c r="C8" s="2" t="s">
        <v>163</v>
      </c>
      <c r="D8" s="2" t="s">
        <v>66</v>
      </c>
      <c r="E8" s="2" t="s">
        <v>164</v>
      </c>
      <c r="F8" s="2" t="s">
        <v>76</v>
      </c>
      <c r="G8" s="2">
        <v>30</v>
      </c>
      <c r="H8" s="2"/>
      <c r="I8" s="3"/>
      <c r="J8" s="2" t="s">
        <v>165</v>
      </c>
      <c r="K8" s="2"/>
      <c r="L8" s="2" t="s">
        <v>166</v>
      </c>
      <c r="M8" s="2"/>
      <c r="N8" s="2" t="s">
        <v>30</v>
      </c>
    </row>
    <row r="9" spans="1:15" ht="45" customHeight="1">
      <c r="A9" s="2" t="s">
        <v>167</v>
      </c>
      <c r="B9" s="2" t="s">
        <v>162</v>
      </c>
      <c r="C9" s="2" t="s">
        <v>168</v>
      </c>
      <c r="D9" s="2" t="s">
        <v>66</v>
      </c>
      <c r="E9" s="2" t="s">
        <v>169</v>
      </c>
      <c r="F9" s="2" t="s">
        <v>170</v>
      </c>
      <c r="G9" s="2">
        <v>35</v>
      </c>
      <c r="H9" s="2"/>
      <c r="I9" s="3"/>
      <c r="J9" s="2" t="s">
        <v>165</v>
      </c>
      <c r="K9" s="2"/>
      <c r="L9" s="2" t="s">
        <v>166</v>
      </c>
      <c r="M9" s="2"/>
      <c r="N9" s="2" t="s">
        <v>30</v>
      </c>
    </row>
    <row r="10" spans="1:15" ht="45" customHeight="1">
      <c r="A10" s="2" t="s">
        <v>171</v>
      </c>
      <c r="B10" s="2" t="s">
        <v>172</v>
      </c>
      <c r="C10" s="2" t="s">
        <v>173</v>
      </c>
      <c r="D10" s="2" t="s">
        <v>66</v>
      </c>
      <c r="E10" s="2" t="s">
        <v>174</v>
      </c>
      <c r="F10" s="2" t="s">
        <v>175</v>
      </c>
      <c r="G10" s="2">
        <v>18</v>
      </c>
      <c r="H10" s="2"/>
      <c r="I10" s="3"/>
      <c r="J10" s="2" t="s">
        <v>165</v>
      </c>
      <c r="K10" s="2" t="s">
        <v>176</v>
      </c>
      <c r="L10" s="2" t="s">
        <v>166</v>
      </c>
      <c r="M10" s="2" t="s">
        <v>177</v>
      </c>
      <c r="N10" s="2" t="s">
        <v>30</v>
      </c>
    </row>
    <row r="11" spans="1:15" ht="45" customHeight="1">
      <c r="A11" s="2" t="s">
        <v>178</v>
      </c>
      <c r="B11" s="2" t="s">
        <v>179</v>
      </c>
      <c r="C11" s="2" t="s">
        <v>180</v>
      </c>
      <c r="D11" s="2" t="s">
        <v>66</v>
      </c>
      <c r="E11" s="2" t="s">
        <v>181</v>
      </c>
      <c r="F11" s="2" t="s">
        <v>182</v>
      </c>
      <c r="G11" s="2">
        <v>0</v>
      </c>
      <c r="H11" s="2"/>
      <c r="I11" s="3"/>
      <c r="J11" s="2" t="s">
        <v>131</v>
      </c>
      <c r="K11" s="2" t="s">
        <v>183</v>
      </c>
      <c r="L11" s="2" t="s">
        <v>166</v>
      </c>
      <c r="M11" s="2" t="s">
        <v>185</v>
      </c>
      <c r="N11" s="2" t="s">
        <v>30</v>
      </c>
    </row>
    <row r="12" spans="1:15" ht="45" customHeight="1">
      <c r="A12" s="2" t="s">
        <v>186</v>
      </c>
      <c r="B12" s="2" t="s">
        <v>179</v>
      </c>
      <c r="C12" s="2" t="s">
        <v>187</v>
      </c>
      <c r="D12" s="2" t="s">
        <v>66</v>
      </c>
      <c r="E12" s="2" t="s">
        <v>188</v>
      </c>
      <c r="F12" s="2" t="s">
        <v>182</v>
      </c>
      <c r="G12" s="2">
        <v>0</v>
      </c>
      <c r="H12" s="2"/>
      <c r="I12" s="3"/>
      <c r="J12" s="2" t="s">
        <v>131</v>
      </c>
      <c r="K12" s="2" t="s">
        <v>189</v>
      </c>
      <c r="L12" s="2" t="s">
        <v>166</v>
      </c>
      <c r="M12" s="2" t="s">
        <v>448</v>
      </c>
      <c r="N12" s="2" t="s">
        <v>30</v>
      </c>
    </row>
    <row r="13" spans="1:15" ht="45" customHeight="1">
      <c r="A13" s="2" t="s">
        <v>190</v>
      </c>
      <c r="B13" s="2" t="s">
        <v>191</v>
      </c>
      <c r="C13" s="2" t="s">
        <v>192</v>
      </c>
      <c r="D13" s="2" t="s">
        <v>66</v>
      </c>
      <c r="E13" s="2" t="s">
        <v>193</v>
      </c>
      <c r="F13" s="2" t="s">
        <v>195</v>
      </c>
      <c r="G13" s="2"/>
      <c r="H13" s="2"/>
      <c r="I13" s="3"/>
      <c r="J13" s="2" t="s">
        <v>196</v>
      </c>
      <c r="K13" s="2"/>
      <c r="L13" s="2" t="s">
        <v>166</v>
      </c>
      <c r="M13" s="2" t="s">
        <v>448</v>
      </c>
      <c r="N13" s="2" t="s">
        <v>194</v>
      </c>
    </row>
    <row r="14" spans="1:15" ht="45" customHeight="1">
      <c r="A14" s="2" t="s">
        <v>198</v>
      </c>
      <c r="B14" s="2" t="s">
        <v>191</v>
      </c>
      <c r="C14" s="2" t="s">
        <v>199</v>
      </c>
      <c r="D14" s="2" t="s">
        <v>66</v>
      </c>
      <c r="E14" s="2" t="s">
        <v>181</v>
      </c>
      <c r="F14" s="2" t="s">
        <v>200</v>
      </c>
      <c r="G14" s="2"/>
      <c r="H14" s="2"/>
      <c r="I14" s="3"/>
      <c r="J14" s="2" t="s">
        <v>196</v>
      </c>
      <c r="K14" s="2"/>
      <c r="L14" s="2" t="s">
        <v>166</v>
      </c>
      <c r="M14" s="2" t="s">
        <v>448</v>
      </c>
      <c r="N14" s="2" t="s">
        <v>194</v>
      </c>
    </row>
    <row r="15" spans="1:15" ht="45" customHeight="1">
      <c r="A15" s="2" t="s">
        <v>201</v>
      </c>
      <c r="B15" s="2" t="s">
        <v>202</v>
      </c>
      <c r="C15" s="2" t="s">
        <v>203</v>
      </c>
      <c r="D15" s="2" t="s">
        <v>66</v>
      </c>
      <c r="E15" s="2" t="s">
        <v>193</v>
      </c>
      <c r="F15" s="2" t="s">
        <v>204</v>
      </c>
      <c r="G15" s="2"/>
      <c r="H15" s="2"/>
      <c r="I15" s="3"/>
      <c r="J15" s="2" t="s">
        <v>196</v>
      </c>
      <c r="K15" s="2" t="s">
        <v>205</v>
      </c>
      <c r="L15" s="2" t="s">
        <v>166</v>
      </c>
      <c r="M15" s="2" t="s">
        <v>206</v>
      </c>
      <c r="N15" s="2" t="s">
        <v>194</v>
      </c>
    </row>
    <row r="16" spans="1:15" ht="45" customHeight="1">
      <c r="A16" s="2" t="s">
        <v>214</v>
      </c>
      <c r="B16" s="2" t="s">
        <v>215</v>
      </c>
      <c r="C16" s="2" t="s">
        <v>216</v>
      </c>
      <c r="D16" s="2" t="s">
        <v>66</v>
      </c>
      <c r="E16" s="2" t="s">
        <v>217</v>
      </c>
      <c r="F16" s="2" t="s">
        <v>88</v>
      </c>
      <c r="G16" s="2"/>
      <c r="H16" s="2"/>
      <c r="I16" s="3"/>
      <c r="J16" s="2"/>
      <c r="K16" s="2" t="s">
        <v>219</v>
      </c>
      <c r="L16" s="2" t="s">
        <v>166</v>
      </c>
      <c r="M16" s="2" t="s">
        <v>448</v>
      </c>
      <c r="N16" s="2" t="s">
        <v>218</v>
      </c>
    </row>
    <row r="17" spans="1:14" ht="45" customHeight="1">
      <c r="A17" s="2" t="s">
        <v>220</v>
      </c>
      <c r="B17" s="2" t="s">
        <v>215</v>
      </c>
      <c r="C17" s="2" t="s">
        <v>221</v>
      </c>
      <c r="D17" s="2" t="s">
        <v>66</v>
      </c>
      <c r="E17" s="2" t="s">
        <v>222</v>
      </c>
      <c r="F17" s="2" t="s">
        <v>88</v>
      </c>
      <c r="G17" s="2"/>
      <c r="H17" s="2"/>
      <c r="I17" s="3"/>
      <c r="J17" s="2"/>
      <c r="K17" s="2" t="s">
        <v>223</v>
      </c>
      <c r="L17" s="2" t="s">
        <v>166</v>
      </c>
      <c r="M17" s="2" t="s">
        <v>448</v>
      </c>
      <c r="N17" s="2" t="s">
        <v>218</v>
      </c>
    </row>
    <row r="18" spans="1:14" ht="45" customHeight="1">
      <c r="A18" s="2" t="s">
        <v>224</v>
      </c>
      <c r="B18" s="2" t="s">
        <v>157</v>
      </c>
      <c r="C18" s="2" t="s">
        <v>225</v>
      </c>
      <c r="D18" s="2" t="s">
        <v>66</v>
      </c>
      <c r="E18" s="2" t="s">
        <v>226</v>
      </c>
      <c r="F18" s="2" t="s">
        <v>88</v>
      </c>
      <c r="G18" s="2"/>
      <c r="H18" s="2"/>
      <c r="I18" s="3"/>
      <c r="J18" s="2"/>
      <c r="K18" s="2" t="s">
        <v>227</v>
      </c>
      <c r="L18" s="2" t="s">
        <v>166</v>
      </c>
      <c r="M18" s="2" t="s">
        <v>448</v>
      </c>
      <c r="N18" s="2" t="s">
        <v>98</v>
      </c>
    </row>
    <row r="19" spans="1:14" ht="45" customHeight="1">
      <c r="A19" s="2" t="s">
        <v>228</v>
      </c>
      <c r="B19" s="2" t="s">
        <v>157</v>
      </c>
      <c r="C19" s="2" t="s">
        <v>229</v>
      </c>
      <c r="D19" s="2" t="s">
        <v>66</v>
      </c>
      <c r="E19" s="2" t="s">
        <v>164</v>
      </c>
      <c r="F19" s="2" t="s">
        <v>231</v>
      </c>
      <c r="G19" s="2"/>
      <c r="H19" s="2"/>
      <c r="I19" s="3"/>
      <c r="J19" s="2"/>
      <c r="K19" s="2" t="s">
        <v>232</v>
      </c>
      <c r="L19" s="2" t="s">
        <v>166</v>
      </c>
      <c r="M19" s="2" t="s">
        <v>233</v>
      </c>
      <c r="N19" s="2" t="s">
        <v>230</v>
      </c>
    </row>
    <row r="20" spans="1:14" ht="45" customHeight="1">
      <c r="A20" s="2" t="s">
        <v>234</v>
      </c>
      <c r="B20" s="2" t="s">
        <v>157</v>
      </c>
      <c r="C20" s="2" t="s">
        <v>235</v>
      </c>
      <c r="D20" s="2" t="s">
        <v>66</v>
      </c>
      <c r="E20" s="2" t="s">
        <v>236</v>
      </c>
      <c r="F20" s="2" t="s">
        <v>237</v>
      </c>
      <c r="G20" s="2"/>
      <c r="H20" s="2"/>
      <c r="I20" s="3"/>
      <c r="J20" s="2"/>
      <c r="K20" s="2" t="s">
        <v>238</v>
      </c>
      <c r="L20" s="2" t="s">
        <v>166</v>
      </c>
      <c r="M20" s="2" t="s">
        <v>448</v>
      </c>
      <c r="N20" s="2" t="s">
        <v>230</v>
      </c>
    </row>
    <row r="21" spans="1:14" ht="45" customHeight="1">
      <c r="A21" s="2" t="s">
        <v>239</v>
      </c>
      <c r="B21" s="2" t="s">
        <v>157</v>
      </c>
      <c r="C21" s="2" t="s">
        <v>240</v>
      </c>
      <c r="D21" s="2" t="s">
        <v>66</v>
      </c>
      <c r="E21" s="2" t="s">
        <v>188</v>
      </c>
      <c r="F21" s="2" t="s">
        <v>241</v>
      </c>
      <c r="G21" s="2"/>
      <c r="H21" s="2"/>
      <c r="I21" s="3"/>
      <c r="J21" s="2"/>
      <c r="K21" s="2" t="s">
        <v>242</v>
      </c>
      <c r="L21" s="2" t="s">
        <v>166</v>
      </c>
      <c r="M21" s="2" t="s">
        <v>243</v>
      </c>
      <c r="N21" s="2" t="s">
        <v>230</v>
      </c>
    </row>
    <row r="22" spans="1:14" ht="45" customHeight="1">
      <c r="A22" s="2" t="s">
        <v>244</v>
      </c>
      <c r="B22" s="2" t="s">
        <v>157</v>
      </c>
      <c r="C22" s="2" t="s">
        <v>245</v>
      </c>
      <c r="D22" s="2" t="s">
        <v>66</v>
      </c>
      <c r="E22" s="2" t="s">
        <v>188</v>
      </c>
      <c r="F22" s="2" t="s">
        <v>246</v>
      </c>
      <c r="G22" s="2"/>
      <c r="H22" s="2"/>
      <c r="I22" s="3"/>
      <c r="J22" s="2"/>
      <c r="K22" s="2"/>
      <c r="L22" s="2" t="s">
        <v>166</v>
      </c>
      <c r="M22" s="2" t="s">
        <v>448</v>
      </c>
      <c r="N22" s="2" t="s">
        <v>230</v>
      </c>
    </row>
    <row r="23" spans="1:14" ht="45" customHeight="1">
      <c r="A23" s="2" t="s">
        <v>247</v>
      </c>
      <c r="B23" s="2" t="s">
        <v>157</v>
      </c>
      <c r="C23" s="2" t="s">
        <v>248</v>
      </c>
      <c r="D23" s="2" t="s">
        <v>66</v>
      </c>
      <c r="E23" s="2" t="s">
        <v>188</v>
      </c>
      <c r="F23" s="2" t="s">
        <v>249</v>
      </c>
      <c r="G23" s="2"/>
      <c r="H23" s="2"/>
      <c r="I23" s="3"/>
      <c r="J23" s="2"/>
      <c r="K23" s="2"/>
      <c r="L23" s="2" t="s">
        <v>166</v>
      </c>
      <c r="M23" s="2" t="s">
        <v>448</v>
      </c>
      <c r="N23" s="2" t="s">
        <v>230</v>
      </c>
    </row>
    <row r="24" spans="1:14" ht="45" customHeight="1">
      <c r="A24" s="2" t="s">
        <v>250</v>
      </c>
      <c r="B24" s="2" t="s">
        <v>251</v>
      </c>
      <c r="C24" s="2" t="s">
        <v>252</v>
      </c>
      <c r="D24" s="2" t="s">
        <v>66</v>
      </c>
      <c r="E24" s="2" t="s">
        <v>253</v>
      </c>
      <c r="F24" s="2" t="s">
        <v>88</v>
      </c>
      <c r="G24" s="2"/>
      <c r="H24" s="2"/>
      <c r="I24" s="3"/>
      <c r="J24" s="2"/>
      <c r="K24" s="2" t="s">
        <v>254</v>
      </c>
      <c r="L24" s="2" t="s">
        <v>166</v>
      </c>
      <c r="M24" s="2" t="s">
        <v>255</v>
      </c>
      <c r="N24" s="2" t="s">
        <v>218</v>
      </c>
    </row>
    <row r="25" spans="1:14" ht="45" customHeight="1">
      <c r="A25" s="2" t="s">
        <v>277</v>
      </c>
      <c r="B25" s="2" t="s">
        <v>278</v>
      </c>
      <c r="C25" s="2" t="s">
        <v>279</v>
      </c>
      <c r="D25" s="2" t="s">
        <v>66</v>
      </c>
      <c r="E25" s="2" t="s">
        <v>280</v>
      </c>
      <c r="F25" s="2" t="s">
        <v>88</v>
      </c>
      <c r="G25" s="2"/>
      <c r="H25" s="2"/>
      <c r="I25" s="3"/>
      <c r="J25" s="2"/>
      <c r="K25" s="2" t="s">
        <v>281</v>
      </c>
      <c r="L25" s="2" t="s">
        <v>166</v>
      </c>
      <c r="M25" s="2" t="s">
        <v>282</v>
      </c>
      <c r="N25" s="2" t="s">
        <v>218</v>
      </c>
    </row>
    <row r="26" spans="1:14" ht="45" customHeight="1">
      <c r="A26" s="2" t="s">
        <v>283</v>
      </c>
      <c r="B26" s="2" t="s">
        <v>284</v>
      </c>
      <c r="C26" s="2" t="s">
        <v>285</v>
      </c>
      <c r="D26" s="2" t="s">
        <v>66</v>
      </c>
      <c r="E26" s="2" t="s">
        <v>29</v>
      </c>
      <c r="F26" s="2" t="s">
        <v>88</v>
      </c>
      <c r="G26" s="2"/>
      <c r="H26" s="2"/>
      <c r="I26" s="3"/>
      <c r="J26" s="2"/>
      <c r="K26" s="2" t="s">
        <v>286</v>
      </c>
      <c r="L26" s="2" t="s">
        <v>166</v>
      </c>
      <c r="M26" s="2" t="s">
        <v>448</v>
      </c>
      <c r="N26" s="2" t="s">
        <v>218</v>
      </c>
    </row>
    <row r="27" spans="1:14" ht="45" customHeight="1">
      <c r="A27" s="2" t="s">
        <v>287</v>
      </c>
      <c r="B27" s="2" t="s">
        <v>284</v>
      </c>
      <c r="C27" s="2" t="s">
        <v>288</v>
      </c>
      <c r="D27" s="2" t="s">
        <v>66</v>
      </c>
      <c r="E27" s="2" t="s">
        <v>289</v>
      </c>
      <c r="F27" s="2" t="s">
        <v>88</v>
      </c>
      <c r="G27" s="2"/>
      <c r="H27" s="2"/>
      <c r="I27" s="3"/>
      <c r="J27" s="2"/>
      <c r="K27" s="2" t="s">
        <v>290</v>
      </c>
      <c r="L27" s="2" t="s">
        <v>166</v>
      </c>
      <c r="M27" s="2" t="s">
        <v>448</v>
      </c>
      <c r="N27" s="2" t="s">
        <v>218</v>
      </c>
    </row>
    <row r="28" spans="1:14" ht="45" customHeight="1">
      <c r="A28" s="2" t="s">
        <v>291</v>
      </c>
      <c r="B28" s="2" t="s">
        <v>284</v>
      </c>
      <c r="C28" s="2" t="s">
        <v>292</v>
      </c>
      <c r="D28" s="2" t="s">
        <v>66</v>
      </c>
      <c r="E28" s="2" t="s">
        <v>293</v>
      </c>
      <c r="F28" s="2" t="s">
        <v>88</v>
      </c>
      <c r="G28" s="2"/>
      <c r="H28" s="2"/>
      <c r="I28" s="3"/>
      <c r="J28" s="2"/>
      <c r="K28" s="2" t="s">
        <v>294</v>
      </c>
      <c r="L28" s="2" t="s">
        <v>166</v>
      </c>
      <c r="M28" s="2" t="s">
        <v>448</v>
      </c>
      <c r="N28" s="2" t="s">
        <v>218</v>
      </c>
    </row>
    <row r="29" spans="1:14" ht="45" customHeight="1">
      <c r="A29" s="2" t="s">
        <v>295</v>
      </c>
      <c r="B29" s="2" t="s">
        <v>296</v>
      </c>
      <c r="C29" s="2" t="s">
        <v>297</v>
      </c>
      <c r="D29" s="2" t="s">
        <v>66</v>
      </c>
      <c r="E29" s="2" t="s">
        <v>193</v>
      </c>
      <c r="F29" s="2" t="s">
        <v>88</v>
      </c>
      <c r="G29" s="2"/>
      <c r="H29" s="2"/>
      <c r="I29" s="3"/>
      <c r="J29" s="2"/>
      <c r="K29" s="2" t="s">
        <v>298</v>
      </c>
      <c r="L29" s="2" t="s">
        <v>166</v>
      </c>
      <c r="M29" s="2" t="s">
        <v>448</v>
      </c>
      <c r="N29" s="2" t="s">
        <v>98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opLeftCell="L1" workbookViewId="0">
      <pane ySplit="4" topLeftCell="A5" activePane="bottomLeft" state="frozen"/>
      <selection pane="bottomLeft" activeCell="O4" sqref="O4"/>
    </sheetView>
  </sheetViews>
  <sheetFormatPr baseColWidth="10" defaultColWidth="8.796875" defaultRowHeight="13.8"/>
  <cols>
    <col min="1" max="1" width="14" customWidth="1"/>
    <col min="2" max="2" width="26" customWidth="1"/>
    <col min="3" max="3" width="51" customWidth="1"/>
    <col min="4" max="5" width="29" customWidth="1"/>
    <col min="6" max="6" width="34" customWidth="1"/>
    <col min="7" max="7" width="18" customWidth="1"/>
    <col min="8" max="9" width="17" customWidth="1"/>
    <col min="10" max="10" width="27" customWidth="1"/>
    <col min="11" max="11" width="64" customWidth="1"/>
    <col min="12" max="12" width="16" customWidth="1"/>
    <col min="13" max="13" width="58" customWidth="1"/>
    <col min="14" max="14" width="20" customWidth="1"/>
    <col min="15" max="15" width="21" customWidth="1"/>
  </cols>
  <sheetData>
    <row r="1" spans="1:15" ht="31.95" customHeight="1">
      <c r="A1" s="9" t="s">
        <v>451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42" customHeight="1">
      <c r="A2" s="10" t="s">
        <v>452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7.049999999999997" customHeight="1">
      <c r="A4" s="1" t="s">
        <v>438</v>
      </c>
      <c r="B4" s="1" t="s">
        <v>4</v>
      </c>
      <c r="C4" s="1" t="s">
        <v>439</v>
      </c>
      <c r="D4" s="1" t="s">
        <v>6</v>
      </c>
      <c r="E4" s="1" t="s">
        <v>7</v>
      </c>
      <c r="F4" s="1" t="s">
        <v>440</v>
      </c>
      <c r="G4" s="1" t="s">
        <v>441</v>
      </c>
      <c r="H4" s="1" t="s">
        <v>442</v>
      </c>
      <c r="I4" s="1" t="s">
        <v>443</v>
      </c>
      <c r="J4" s="1" t="s">
        <v>444</v>
      </c>
      <c r="K4" s="1" t="s">
        <v>19</v>
      </c>
      <c r="L4" s="1" t="s">
        <v>445</v>
      </c>
      <c r="M4" s="1" t="s">
        <v>446</v>
      </c>
      <c r="N4" s="1" t="s">
        <v>447</v>
      </c>
    </row>
    <row r="5" spans="1:15" ht="45" customHeight="1">
      <c r="A5" s="2" t="s">
        <v>299</v>
      </c>
      <c r="B5" s="2" t="s">
        <v>301</v>
      </c>
      <c r="C5" s="2" t="s">
        <v>302</v>
      </c>
      <c r="D5" s="2" t="s">
        <v>303</v>
      </c>
      <c r="E5" s="2" t="s">
        <v>304</v>
      </c>
      <c r="F5" s="2" t="s">
        <v>31</v>
      </c>
      <c r="G5" s="2">
        <v>0</v>
      </c>
      <c r="H5" s="2"/>
      <c r="I5" s="3"/>
      <c r="J5" s="2" t="s">
        <v>305</v>
      </c>
      <c r="K5" s="2" t="s">
        <v>306</v>
      </c>
      <c r="L5" s="2" t="s">
        <v>308</v>
      </c>
      <c r="M5" s="2" t="s">
        <v>310</v>
      </c>
      <c r="N5" s="2" t="s">
        <v>30</v>
      </c>
    </row>
    <row r="6" spans="1:15" ht="45" customHeight="1">
      <c r="A6" s="2" t="s">
        <v>311</v>
      </c>
      <c r="B6" s="2" t="s">
        <v>312</v>
      </c>
      <c r="C6" s="2" t="s">
        <v>313</v>
      </c>
      <c r="D6" s="2" t="s">
        <v>303</v>
      </c>
      <c r="E6" s="2" t="s">
        <v>304</v>
      </c>
      <c r="F6" s="2" t="s">
        <v>314</v>
      </c>
      <c r="G6" s="2">
        <v>800</v>
      </c>
      <c r="H6" s="2"/>
      <c r="I6" s="3"/>
      <c r="J6" s="2" t="s">
        <v>315</v>
      </c>
      <c r="K6" s="2" t="s">
        <v>316</v>
      </c>
      <c r="L6" s="2" t="s">
        <v>308</v>
      </c>
      <c r="M6" s="2" t="s">
        <v>317</v>
      </c>
      <c r="N6" s="2" t="s">
        <v>30</v>
      </c>
    </row>
    <row r="7" spans="1:15" ht="45" customHeight="1">
      <c r="A7" s="2" t="s">
        <v>318</v>
      </c>
      <c r="B7" s="2" t="s">
        <v>319</v>
      </c>
      <c r="C7" s="2" t="s">
        <v>320</v>
      </c>
      <c r="D7" s="2" t="s">
        <v>303</v>
      </c>
      <c r="E7" s="2" t="s">
        <v>181</v>
      </c>
      <c r="F7" s="2" t="s">
        <v>321</v>
      </c>
      <c r="G7" s="2"/>
      <c r="H7" s="2"/>
      <c r="I7" s="3">
        <v>1.4999999999999999E-2</v>
      </c>
      <c r="J7" s="2" t="s">
        <v>322</v>
      </c>
      <c r="K7" s="2" t="s">
        <v>323</v>
      </c>
      <c r="L7" s="2" t="s">
        <v>308</v>
      </c>
      <c r="M7" s="2" t="s">
        <v>324</v>
      </c>
      <c r="N7" s="2" t="s">
        <v>30</v>
      </c>
    </row>
    <row r="8" spans="1:15" ht="45" customHeight="1">
      <c r="A8" s="2" t="s">
        <v>325</v>
      </c>
      <c r="B8" s="2" t="s">
        <v>326</v>
      </c>
      <c r="C8" s="2" t="s">
        <v>327</v>
      </c>
      <c r="D8" s="2" t="s">
        <v>303</v>
      </c>
      <c r="E8" s="2" t="s">
        <v>328</v>
      </c>
      <c r="F8" s="2" t="s">
        <v>31</v>
      </c>
      <c r="G8" s="2">
        <v>0</v>
      </c>
      <c r="H8" s="2"/>
      <c r="I8" s="3"/>
      <c r="J8" s="2" t="s">
        <v>69</v>
      </c>
      <c r="K8" s="2" t="s">
        <v>329</v>
      </c>
      <c r="L8" s="2" t="s">
        <v>308</v>
      </c>
      <c r="M8" s="2" t="s">
        <v>448</v>
      </c>
      <c r="N8" s="2" t="s">
        <v>30</v>
      </c>
    </row>
    <row r="9" spans="1:15" ht="45" customHeight="1">
      <c r="A9" s="2" t="s">
        <v>330</v>
      </c>
      <c r="B9" s="2" t="s">
        <v>331</v>
      </c>
      <c r="C9" s="2" t="s">
        <v>332</v>
      </c>
      <c r="D9" s="2" t="s">
        <v>303</v>
      </c>
      <c r="E9" s="2" t="s">
        <v>181</v>
      </c>
      <c r="F9" s="2" t="s">
        <v>88</v>
      </c>
      <c r="G9" s="2"/>
      <c r="H9" s="2"/>
      <c r="I9" s="3"/>
      <c r="J9" s="2"/>
      <c r="K9" s="2" t="s">
        <v>333</v>
      </c>
      <c r="L9" s="2" t="s">
        <v>166</v>
      </c>
      <c r="M9" s="2" t="s">
        <v>334</v>
      </c>
      <c r="N9" s="2" t="s">
        <v>218</v>
      </c>
    </row>
    <row r="10" spans="1:15" ht="45" customHeight="1">
      <c r="A10" s="2" t="s">
        <v>346</v>
      </c>
      <c r="B10" s="2" t="s">
        <v>347</v>
      </c>
      <c r="C10" s="2" t="s">
        <v>348</v>
      </c>
      <c r="D10" s="2" t="s">
        <v>303</v>
      </c>
      <c r="E10" s="2" t="s">
        <v>304</v>
      </c>
      <c r="F10" s="2" t="s">
        <v>349</v>
      </c>
      <c r="G10" s="2">
        <v>300</v>
      </c>
      <c r="H10" s="2"/>
      <c r="I10" s="3"/>
      <c r="J10" s="2" t="s">
        <v>315</v>
      </c>
      <c r="K10" s="2" t="s">
        <v>350</v>
      </c>
      <c r="L10" s="2" t="s">
        <v>342</v>
      </c>
      <c r="M10" s="2" t="s">
        <v>351</v>
      </c>
      <c r="N10" s="2" t="s">
        <v>30</v>
      </c>
    </row>
    <row r="11" spans="1:15" ht="45" customHeight="1">
      <c r="A11" s="2" t="s">
        <v>352</v>
      </c>
      <c r="B11" s="2" t="s">
        <v>347</v>
      </c>
      <c r="C11" s="2" t="s">
        <v>353</v>
      </c>
      <c r="D11" s="2" t="s">
        <v>303</v>
      </c>
      <c r="E11" s="2" t="s">
        <v>304</v>
      </c>
      <c r="F11" s="2" t="s">
        <v>349</v>
      </c>
      <c r="G11" s="2">
        <v>300</v>
      </c>
      <c r="H11" s="2"/>
      <c r="I11" s="3"/>
      <c r="J11" s="2" t="s">
        <v>315</v>
      </c>
      <c r="K11" s="2" t="s">
        <v>350</v>
      </c>
      <c r="L11" s="2" t="s">
        <v>342</v>
      </c>
      <c r="M11" s="2" t="s">
        <v>351</v>
      </c>
      <c r="N11" s="2" t="s">
        <v>30</v>
      </c>
    </row>
    <row r="12" spans="1:15" ht="45" customHeight="1">
      <c r="A12" s="2" t="s">
        <v>354</v>
      </c>
      <c r="B12" s="2" t="s">
        <v>347</v>
      </c>
      <c r="C12" s="2" t="s">
        <v>355</v>
      </c>
      <c r="D12" s="2" t="s">
        <v>303</v>
      </c>
      <c r="E12" s="2" t="s">
        <v>304</v>
      </c>
      <c r="F12" s="2" t="s">
        <v>356</v>
      </c>
      <c r="G12" s="2">
        <v>200</v>
      </c>
      <c r="H12" s="2"/>
      <c r="I12" s="3"/>
      <c r="J12" s="2" t="s">
        <v>315</v>
      </c>
      <c r="K12" s="2" t="s">
        <v>350</v>
      </c>
      <c r="L12" s="2" t="s">
        <v>342</v>
      </c>
      <c r="M12" s="2" t="s">
        <v>351</v>
      </c>
      <c r="N12" s="2" t="s">
        <v>30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opLeftCell="K1" workbookViewId="0">
      <pane ySplit="4" topLeftCell="A5" activePane="bottomLeft" state="frozen"/>
      <selection pane="bottomLeft" activeCell="O4" sqref="O4"/>
    </sheetView>
  </sheetViews>
  <sheetFormatPr baseColWidth="10" defaultColWidth="8.796875" defaultRowHeight="13.8"/>
  <cols>
    <col min="1" max="1" width="14" customWidth="1"/>
    <col min="2" max="2" width="26" customWidth="1"/>
    <col min="3" max="3" width="51" customWidth="1"/>
    <col min="4" max="5" width="29" customWidth="1"/>
    <col min="6" max="6" width="34" customWidth="1"/>
    <col min="7" max="7" width="18" customWidth="1"/>
    <col min="8" max="9" width="17" customWidth="1"/>
    <col min="10" max="10" width="27" customWidth="1"/>
    <col min="11" max="11" width="64" customWidth="1"/>
    <col min="12" max="12" width="16" customWidth="1"/>
    <col min="13" max="13" width="58" customWidth="1"/>
    <col min="14" max="14" width="20" customWidth="1"/>
    <col min="15" max="15" width="21" customWidth="1"/>
  </cols>
  <sheetData>
    <row r="1" spans="1:15" ht="31.95" customHeight="1">
      <c r="A1" s="9" t="s">
        <v>453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42" customHeight="1">
      <c r="A2" s="10" t="s">
        <v>454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7.049999999999997" customHeight="1">
      <c r="A4" s="1" t="s">
        <v>438</v>
      </c>
      <c r="B4" s="1" t="s">
        <v>4</v>
      </c>
      <c r="C4" s="1" t="s">
        <v>439</v>
      </c>
      <c r="D4" s="1" t="s">
        <v>6</v>
      </c>
      <c r="E4" s="1" t="s">
        <v>7</v>
      </c>
      <c r="F4" s="1" t="s">
        <v>440</v>
      </c>
      <c r="G4" s="1" t="s">
        <v>441</v>
      </c>
      <c r="H4" s="1" t="s">
        <v>442</v>
      </c>
      <c r="I4" s="1" t="s">
        <v>443</v>
      </c>
      <c r="J4" s="1" t="s">
        <v>444</v>
      </c>
      <c r="K4" s="1" t="s">
        <v>19</v>
      </c>
      <c r="L4" s="1" t="s">
        <v>445</v>
      </c>
      <c r="M4" s="1" t="s">
        <v>446</v>
      </c>
      <c r="N4" s="1" t="s">
        <v>447</v>
      </c>
    </row>
    <row r="5" spans="1:15" ht="45" customHeight="1">
      <c r="A5" s="2" t="s">
        <v>335</v>
      </c>
      <c r="B5" s="2" t="s">
        <v>337</v>
      </c>
      <c r="C5" s="2" t="s">
        <v>338</v>
      </c>
      <c r="D5" s="2" t="s">
        <v>28</v>
      </c>
      <c r="E5" s="2" t="s">
        <v>104</v>
      </c>
      <c r="F5" s="2" t="s">
        <v>339</v>
      </c>
      <c r="G5" s="2">
        <v>1000</v>
      </c>
      <c r="H5" s="2"/>
      <c r="I5" s="3"/>
      <c r="J5" s="2" t="s">
        <v>340</v>
      </c>
      <c r="K5" s="2" t="s">
        <v>341</v>
      </c>
      <c r="L5" s="2" t="s">
        <v>342</v>
      </c>
      <c r="M5" s="2" t="s">
        <v>448</v>
      </c>
      <c r="N5" s="2" t="s">
        <v>30</v>
      </c>
    </row>
    <row r="6" spans="1:15" ht="45" customHeight="1">
      <c r="A6" s="2" t="s">
        <v>343</v>
      </c>
      <c r="B6" s="2" t="s">
        <v>337</v>
      </c>
      <c r="C6" s="2" t="s">
        <v>344</v>
      </c>
      <c r="D6" s="2" t="s">
        <v>303</v>
      </c>
      <c r="E6" s="2" t="s">
        <v>104</v>
      </c>
      <c r="F6" s="2" t="s">
        <v>345</v>
      </c>
      <c r="G6" s="2">
        <v>4200</v>
      </c>
      <c r="H6" s="2"/>
      <c r="I6" s="3"/>
      <c r="J6" s="2" t="s">
        <v>340</v>
      </c>
      <c r="K6" s="2" t="s">
        <v>341</v>
      </c>
      <c r="L6" s="2" t="s">
        <v>342</v>
      </c>
      <c r="M6" s="2" t="s">
        <v>448</v>
      </c>
      <c r="N6" s="2" t="s">
        <v>30</v>
      </c>
    </row>
    <row r="7" spans="1:15" ht="45" customHeight="1">
      <c r="A7" s="2" t="s">
        <v>373</v>
      </c>
      <c r="B7" s="2" t="s">
        <v>374</v>
      </c>
      <c r="C7" s="2" t="s">
        <v>375</v>
      </c>
      <c r="D7" s="2" t="s">
        <v>125</v>
      </c>
      <c r="E7" s="2" t="s">
        <v>104</v>
      </c>
      <c r="F7" s="2" t="s">
        <v>88</v>
      </c>
      <c r="G7" s="2"/>
      <c r="H7" s="2"/>
      <c r="I7" s="3"/>
      <c r="J7" s="2"/>
      <c r="K7" s="2" t="s">
        <v>376</v>
      </c>
      <c r="L7" s="2" t="s">
        <v>342</v>
      </c>
      <c r="M7" s="2" t="s">
        <v>377</v>
      </c>
      <c r="N7" s="2" t="s">
        <v>98</v>
      </c>
    </row>
    <row r="8" spans="1:15" ht="45" customHeight="1">
      <c r="A8" s="2" t="s">
        <v>378</v>
      </c>
      <c r="B8" s="2" t="s">
        <v>374</v>
      </c>
      <c r="C8" s="2" t="s">
        <v>379</v>
      </c>
      <c r="D8" s="2" t="s">
        <v>125</v>
      </c>
      <c r="E8" s="2" t="s">
        <v>104</v>
      </c>
      <c r="F8" s="2" t="s">
        <v>88</v>
      </c>
      <c r="G8" s="2"/>
      <c r="H8" s="2"/>
      <c r="I8" s="3"/>
      <c r="J8" s="2"/>
      <c r="K8" s="2" t="s">
        <v>380</v>
      </c>
      <c r="L8" s="2" t="s">
        <v>342</v>
      </c>
      <c r="M8" s="2" t="s">
        <v>381</v>
      </c>
      <c r="N8" s="2" t="s">
        <v>98</v>
      </c>
    </row>
    <row r="9" spans="1:15" ht="45" customHeight="1">
      <c r="A9" s="2" t="s">
        <v>382</v>
      </c>
      <c r="B9" s="2" t="s">
        <v>383</v>
      </c>
      <c r="C9" s="2" t="s">
        <v>384</v>
      </c>
      <c r="D9" s="2" t="s">
        <v>125</v>
      </c>
      <c r="E9" s="2" t="s">
        <v>383</v>
      </c>
      <c r="F9" s="2" t="s">
        <v>76</v>
      </c>
      <c r="G9" s="2">
        <v>30</v>
      </c>
      <c r="H9" s="2"/>
      <c r="I9" s="3"/>
      <c r="J9" s="2" t="s">
        <v>385</v>
      </c>
      <c r="K9" s="2" t="s">
        <v>386</v>
      </c>
      <c r="L9" s="2" t="s">
        <v>342</v>
      </c>
      <c r="M9" s="2" t="s">
        <v>387</v>
      </c>
      <c r="N9" s="2" t="s">
        <v>30</v>
      </c>
    </row>
    <row r="10" spans="1:15" ht="45" customHeight="1">
      <c r="A10" s="2" t="s">
        <v>388</v>
      </c>
      <c r="B10" s="2" t="s">
        <v>383</v>
      </c>
      <c r="C10" s="2" t="s">
        <v>389</v>
      </c>
      <c r="D10" s="2" t="s">
        <v>125</v>
      </c>
      <c r="E10" s="2" t="s">
        <v>383</v>
      </c>
      <c r="F10" s="2" t="s">
        <v>390</v>
      </c>
      <c r="G10" s="2">
        <v>55</v>
      </c>
      <c r="H10" s="2"/>
      <c r="I10" s="3"/>
      <c r="J10" s="2" t="s">
        <v>385</v>
      </c>
      <c r="K10" s="2" t="s">
        <v>386</v>
      </c>
      <c r="L10" s="2" t="s">
        <v>342</v>
      </c>
      <c r="M10" s="2" t="s">
        <v>387</v>
      </c>
      <c r="N10" s="2" t="s">
        <v>30</v>
      </c>
    </row>
    <row r="11" spans="1:15" ht="45" customHeight="1">
      <c r="A11" s="2" t="s">
        <v>391</v>
      </c>
      <c r="B11" s="2" t="s">
        <v>383</v>
      </c>
      <c r="C11" s="2" t="s">
        <v>392</v>
      </c>
      <c r="D11" s="2" t="s">
        <v>125</v>
      </c>
      <c r="E11" s="2" t="s">
        <v>383</v>
      </c>
      <c r="F11" s="2" t="s">
        <v>393</v>
      </c>
      <c r="G11" s="2">
        <v>2000</v>
      </c>
      <c r="H11" s="2"/>
      <c r="I11" s="3"/>
      <c r="J11" s="2" t="s">
        <v>340</v>
      </c>
      <c r="K11" s="2" t="s">
        <v>394</v>
      </c>
      <c r="L11" s="2" t="s">
        <v>342</v>
      </c>
      <c r="M11" s="2" t="s">
        <v>448</v>
      </c>
      <c r="N11" s="2" t="s">
        <v>30</v>
      </c>
    </row>
    <row r="12" spans="1:15" ht="45" customHeight="1">
      <c r="A12" s="2" t="s">
        <v>395</v>
      </c>
      <c r="B12" s="2" t="s">
        <v>396</v>
      </c>
      <c r="C12" s="2" t="s">
        <v>397</v>
      </c>
      <c r="D12" s="2" t="s">
        <v>125</v>
      </c>
      <c r="E12" s="2" t="s">
        <v>398</v>
      </c>
      <c r="F12" s="2" t="s">
        <v>399</v>
      </c>
      <c r="G12" s="2"/>
      <c r="H12" s="2"/>
      <c r="I12" s="3"/>
      <c r="J12" s="2"/>
      <c r="K12" s="2" t="s">
        <v>400</v>
      </c>
      <c r="L12" s="2" t="s">
        <v>342</v>
      </c>
      <c r="M12" s="2" t="s">
        <v>401</v>
      </c>
      <c r="N12" s="2" t="s">
        <v>30</v>
      </c>
    </row>
    <row r="13" spans="1:15" ht="45" customHeight="1">
      <c r="A13" s="2" t="s">
        <v>402</v>
      </c>
      <c r="B13" s="2" t="s">
        <v>403</v>
      </c>
      <c r="C13" s="2" t="s">
        <v>404</v>
      </c>
      <c r="D13" s="2" t="s">
        <v>125</v>
      </c>
      <c r="E13" s="2" t="s">
        <v>405</v>
      </c>
      <c r="F13" s="2" t="s">
        <v>88</v>
      </c>
      <c r="G13" s="2"/>
      <c r="H13" s="2"/>
      <c r="I13" s="3"/>
      <c r="J13" s="2"/>
      <c r="K13" s="2" t="s">
        <v>406</v>
      </c>
      <c r="L13" s="2" t="s">
        <v>342</v>
      </c>
      <c r="M13" s="2" t="s">
        <v>407</v>
      </c>
      <c r="N13" s="2" t="s">
        <v>30</v>
      </c>
    </row>
    <row r="14" spans="1:15" ht="45" customHeight="1">
      <c r="A14" s="2" t="s">
        <v>408</v>
      </c>
      <c r="B14" s="2" t="s">
        <v>409</v>
      </c>
      <c r="C14" s="2" t="s">
        <v>410</v>
      </c>
      <c r="D14" s="2" t="s">
        <v>125</v>
      </c>
      <c r="E14" s="2" t="s">
        <v>104</v>
      </c>
      <c r="F14" s="2" t="s">
        <v>88</v>
      </c>
      <c r="G14" s="2"/>
      <c r="H14" s="2"/>
      <c r="I14" s="3"/>
      <c r="J14" s="2"/>
      <c r="K14" s="2" t="s">
        <v>411</v>
      </c>
      <c r="L14" s="2" t="s">
        <v>342</v>
      </c>
      <c r="M14" s="2" t="s">
        <v>412</v>
      </c>
      <c r="N14" s="2" t="s">
        <v>30</v>
      </c>
    </row>
    <row r="15" spans="1:15" ht="45" customHeight="1">
      <c r="A15" s="2" t="s">
        <v>413</v>
      </c>
      <c r="B15" s="2" t="s">
        <v>414</v>
      </c>
      <c r="C15" s="2" t="s">
        <v>415</v>
      </c>
      <c r="D15" s="2" t="s">
        <v>125</v>
      </c>
      <c r="E15" s="2" t="s">
        <v>416</v>
      </c>
      <c r="F15" s="2" t="s">
        <v>417</v>
      </c>
      <c r="G15" s="2"/>
      <c r="H15" s="2"/>
      <c r="I15" s="3"/>
      <c r="J15" s="2" t="s">
        <v>315</v>
      </c>
      <c r="K15" s="2" t="s">
        <v>418</v>
      </c>
      <c r="L15" s="2" t="s">
        <v>342</v>
      </c>
      <c r="M15" s="2" t="s">
        <v>419</v>
      </c>
      <c r="N15" s="2" t="s">
        <v>30</v>
      </c>
    </row>
    <row r="16" spans="1:15" ht="45" customHeight="1">
      <c r="A16" s="2" t="s">
        <v>420</v>
      </c>
      <c r="B16" s="2" t="s">
        <v>157</v>
      </c>
      <c r="C16" s="2" t="s">
        <v>421</v>
      </c>
      <c r="D16" s="2" t="s">
        <v>125</v>
      </c>
      <c r="E16" s="2" t="s">
        <v>422</v>
      </c>
      <c r="F16" s="2" t="s">
        <v>423</v>
      </c>
      <c r="G16" s="2"/>
      <c r="H16" s="2"/>
      <c r="I16" s="3"/>
      <c r="J16" s="2"/>
      <c r="K16" s="2" t="s">
        <v>424</v>
      </c>
      <c r="L16" s="2" t="s">
        <v>342</v>
      </c>
      <c r="M16" s="2" t="s">
        <v>448</v>
      </c>
      <c r="N16" s="2" t="s">
        <v>230</v>
      </c>
    </row>
    <row r="17" spans="1:14" ht="45" customHeight="1">
      <c r="A17" s="2" t="s">
        <v>425</v>
      </c>
      <c r="B17" s="2" t="s">
        <v>157</v>
      </c>
      <c r="C17" s="2" t="s">
        <v>426</v>
      </c>
      <c r="D17" s="2" t="s">
        <v>125</v>
      </c>
      <c r="E17" s="2" t="s">
        <v>427</v>
      </c>
      <c r="F17" s="2" t="s">
        <v>428</v>
      </c>
      <c r="G17" s="2"/>
      <c r="H17" s="2"/>
      <c r="I17" s="3"/>
      <c r="J17" s="2"/>
      <c r="K17" s="2" t="s">
        <v>424</v>
      </c>
      <c r="L17" s="2" t="s">
        <v>342</v>
      </c>
      <c r="M17" s="2" t="s">
        <v>429</v>
      </c>
      <c r="N17" s="2" t="s">
        <v>230</v>
      </c>
    </row>
    <row r="18" spans="1:14" ht="45" customHeight="1">
      <c r="A18" s="2" t="s">
        <v>430</v>
      </c>
      <c r="B18" s="2" t="s">
        <v>431</v>
      </c>
      <c r="C18" s="2" t="s">
        <v>432</v>
      </c>
      <c r="D18" s="2" t="s">
        <v>125</v>
      </c>
      <c r="E18" s="2" t="s">
        <v>433</v>
      </c>
      <c r="F18" s="2" t="s">
        <v>31</v>
      </c>
      <c r="G18" s="2">
        <v>0</v>
      </c>
      <c r="H18" s="2"/>
      <c r="I18" s="3"/>
      <c r="J18" s="2" t="s">
        <v>434</v>
      </c>
      <c r="K18" s="2" t="s">
        <v>435</v>
      </c>
      <c r="L18" s="2" t="s">
        <v>342</v>
      </c>
      <c r="M18" s="2" t="s">
        <v>448</v>
      </c>
      <c r="N18" s="2" t="s">
        <v>30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opLeftCell="K1" workbookViewId="0">
      <pane ySplit="4" topLeftCell="A5" activePane="bottomLeft" state="frozen"/>
      <selection pane="bottomLeft" activeCell="O4" sqref="O4"/>
    </sheetView>
  </sheetViews>
  <sheetFormatPr baseColWidth="10" defaultColWidth="8.796875" defaultRowHeight="13.8"/>
  <cols>
    <col min="1" max="1" width="14" customWidth="1"/>
    <col min="2" max="2" width="26" customWidth="1"/>
    <col min="3" max="3" width="51" customWidth="1"/>
    <col min="4" max="5" width="29" customWidth="1"/>
    <col min="6" max="6" width="34" customWidth="1"/>
    <col min="7" max="7" width="18" customWidth="1"/>
    <col min="8" max="9" width="17" customWidth="1"/>
    <col min="10" max="10" width="27" customWidth="1"/>
    <col min="11" max="11" width="64" customWidth="1"/>
    <col min="12" max="12" width="16" customWidth="1"/>
    <col min="13" max="13" width="58" customWidth="1"/>
    <col min="14" max="14" width="20" customWidth="1"/>
    <col min="15" max="15" width="21" customWidth="1"/>
  </cols>
  <sheetData>
    <row r="1" spans="1:15" ht="31.95" customHeight="1">
      <c r="A1" s="9" t="s">
        <v>455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42" customHeight="1">
      <c r="A2" s="10" t="s">
        <v>456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7.049999999999997" customHeight="1">
      <c r="A4" s="1" t="s">
        <v>438</v>
      </c>
      <c r="B4" s="1" t="s">
        <v>4</v>
      </c>
      <c r="C4" s="1" t="s">
        <v>439</v>
      </c>
      <c r="D4" s="1" t="s">
        <v>6</v>
      </c>
      <c r="E4" s="1" t="s">
        <v>7</v>
      </c>
      <c r="F4" s="1" t="s">
        <v>440</v>
      </c>
      <c r="G4" s="1" t="s">
        <v>441</v>
      </c>
      <c r="H4" s="1" t="s">
        <v>442</v>
      </c>
      <c r="I4" s="1" t="s">
        <v>443</v>
      </c>
      <c r="J4" s="1" t="s">
        <v>444</v>
      </c>
      <c r="K4" s="1" t="s">
        <v>19</v>
      </c>
      <c r="L4" s="1" t="s">
        <v>445</v>
      </c>
      <c r="M4" s="1" t="s">
        <v>446</v>
      </c>
      <c r="N4" s="1" t="s">
        <v>447</v>
      </c>
    </row>
    <row r="5" spans="1:15" ht="45" customHeight="1">
      <c r="A5" s="2" t="s">
        <v>149</v>
      </c>
      <c r="B5" s="2" t="s">
        <v>151</v>
      </c>
      <c r="C5" s="2" t="s">
        <v>152</v>
      </c>
      <c r="D5" s="2" t="s">
        <v>28</v>
      </c>
      <c r="E5" s="2" t="s">
        <v>153</v>
      </c>
      <c r="F5" s="2" t="s">
        <v>88</v>
      </c>
      <c r="G5" s="2"/>
      <c r="H5" s="2"/>
      <c r="I5" s="3"/>
      <c r="J5" s="2"/>
      <c r="K5" s="2" t="s">
        <v>154</v>
      </c>
      <c r="L5" s="2" t="s">
        <v>35</v>
      </c>
      <c r="M5" s="2" t="s">
        <v>155</v>
      </c>
      <c r="N5" s="2" t="s">
        <v>30</v>
      </c>
    </row>
    <row r="6" spans="1:15" ht="45" customHeight="1">
      <c r="A6" s="2" t="s">
        <v>207</v>
      </c>
      <c r="B6" s="2" t="s">
        <v>208</v>
      </c>
      <c r="C6" s="2" t="s">
        <v>209</v>
      </c>
      <c r="D6" s="2" t="s">
        <v>28</v>
      </c>
      <c r="E6" s="2" t="s">
        <v>210</v>
      </c>
      <c r="F6" s="2" t="s">
        <v>211</v>
      </c>
      <c r="G6" s="2"/>
      <c r="H6" s="2"/>
      <c r="I6" s="3"/>
      <c r="J6" s="2" t="s">
        <v>196</v>
      </c>
      <c r="K6" s="2" t="s">
        <v>212</v>
      </c>
      <c r="L6" s="2" t="s">
        <v>166</v>
      </c>
      <c r="M6" s="2" t="s">
        <v>213</v>
      </c>
      <c r="N6" s="2" t="s">
        <v>194</v>
      </c>
    </row>
    <row r="7" spans="1:15" ht="45" customHeight="1">
      <c r="A7" s="2" t="s">
        <v>357</v>
      </c>
      <c r="B7" s="2" t="s">
        <v>210</v>
      </c>
      <c r="C7" s="2" t="s">
        <v>358</v>
      </c>
      <c r="D7" s="2" t="s">
        <v>28</v>
      </c>
      <c r="E7" s="2" t="s">
        <v>359</v>
      </c>
      <c r="F7" s="2" t="s">
        <v>360</v>
      </c>
      <c r="G7" s="2">
        <v>50</v>
      </c>
      <c r="H7" s="2"/>
      <c r="I7" s="3"/>
      <c r="J7" s="2" t="s">
        <v>361</v>
      </c>
      <c r="K7" s="2"/>
      <c r="L7" s="2" t="s">
        <v>342</v>
      </c>
      <c r="M7" s="2" t="s">
        <v>362</v>
      </c>
      <c r="N7" s="2" t="s">
        <v>30</v>
      </c>
    </row>
    <row r="8" spans="1:15" ht="45" customHeight="1">
      <c r="A8" s="2" t="s">
        <v>363</v>
      </c>
      <c r="B8" s="2" t="s">
        <v>210</v>
      </c>
      <c r="C8" s="2" t="s">
        <v>364</v>
      </c>
      <c r="D8" s="2" t="s">
        <v>28</v>
      </c>
      <c r="E8" s="2" t="s">
        <v>359</v>
      </c>
      <c r="F8" s="2" t="s">
        <v>365</v>
      </c>
      <c r="G8" s="2">
        <v>12</v>
      </c>
      <c r="H8" s="2">
        <v>24</v>
      </c>
      <c r="I8" s="3"/>
      <c r="J8" s="2" t="s">
        <v>366</v>
      </c>
      <c r="K8" s="2" t="s">
        <v>367</v>
      </c>
      <c r="L8" s="2" t="s">
        <v>342</v>
      </c>
      <c r="M8" s="2" t="s">
        <v>368</v>
      </c>
      <c r="N8" s="2" t="s">
        <v>30</v>
      </c>
    </row>
    <row r="9" spans="1:15" ht="45" customHeight="1">
      <c r="A9" s="2" t="s">
        <v>369</v>
      </c>
      <c r="B9" s="2" t="s">
        <v>210</v>
      </c>
      <c r="C9" s="2" t="s">
        <v>370</v>
      </c>
      <c r="D9" s="2" t="s">
        <v>28</v>
      </c>
      <c r="E9" s="2" t="s">
        <v>359</v>
      </c>
      <c r="F9" s="2" t="s">
        <v>371</v>
      </c>
      <c r="G9" s="2">
        <v>50</v>
      </c>
      <c r="H9" s="2"/>
      <c r="I9" s="3"/>
      <c r="J9" s="2" t="s">
        <v>315</v>
      </c>
      <c r="K9" s="2"/>
      <c r="L9" s="2" t="s">
        <v>342</v>
      </c>
      <c r="M9" s="2" t="s">
        <v>372</v>
      </c>
      <c r="N9" s="2" t="s">
        <v>30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G1" workbookViewId="0">
      <pane ySplit="4" topLeftCell="A5" activePane="bottomLeft" state="frozen"/>
      <selection pane="bottomLeft" activeCell="J9" sqref="J9"/>
    </sheetView>
  </sheetViews>
  <sheetFormatPr baseColWidth="10" defaultColWidth="8.796875" defaultRowHeight="13.8"/>
  <cols>
    <col min="1" max="1" width="14" customWidth="1"/>
    <col min="2" max="2" width="28" customWidth="1"/>
    <col min="3" max="3" width="24" customWidth="1"/>
    <col min="4" max="4" width="49" customWidth="1"/>
    <col min="5" max="5" width="24" customWidth="1"/>
    <col min="6" max="6" width="25" customWidth="1"/>
    <col min="7" max="7" width="75" customWidth="1"/>
    <col min="8" max="8" width="55" customWidth="1"/>
    <col min="9" max="9" width="17" customWidth="1"/>
    <col min="10" max="10" width="20" customWidth="1"/>
  </cols>
  <sheetData>
    <row r="1" spans="1:10" ht="31.95" customHeight="1">
      <c r="A1" s="9" t="s">
        <v>457</v>
      </c>
      <c r="B1" s="9"/>
      <c r="C1" s="9"/>
      <c r="D1" s="9"/>
      <c r="E1" s="9"/>
      <c r="F1" s="9"/>
      <c r="G1" s="9"/>
      <c r="H1" s="9"/>
      <c r="I1" s="9"/>
      <c r="J1" s="9"/>
    </row>
    <row r="2" spans="1:10" ht="42" customHeight="1">
      <c r="A2" s="10" t="s">
        <v>458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7.049999999999997" customHeight="1">
      <c r="A4" s="1" t="s">
        <v>438</v>
      </c>
      <c r="B4" s="1" t="s">
        <v>3</v>
      </c>
      <c r="C4" s="1" t="s">
        <v>459</v>
      </c>
      <c r="D4" s="1" t="s">
        <v>439</v>
      </c>
      <c r="E4" s="1" t="s">
        <v>6</v>
      </c>
      <c r="F4" s="1" t="s">
        <v>460</v>
      </c>
      <c r="G4" s="1" t="s">
        <v>461</v>
      </c>
      <c r="H4" s="1" t="s">
        <v>462</v>
      </c>
      <c r="I4" s="1" t="s">
        <v>445</v>
      </c>
      <c r="J4" s="1" t="s">
        <v>463</v>
      </c>
    </row>
    <row r="5" spans="1:10" ht="52.05" customHeight="1">
      <c r="A5" s="2" t="s">
        <v>121</v>
      </c>
      <c r="B5" s="2" t="s">
        <v>122</v>
      </c>
      <c r="C5" s="2" t="s">
        <v>123</v>
      </c>
      <c r="D5" s="2" t="s">
        <v>124</v>
      </c>
      <c r="E5" s="2" t="s">
        <v>125</v>
      </c>
      <c r="F5" s="2" t="s">
        <v>88</v>
      </c>
      <c r="G5" s="2" t="s">
        <v>126</v>
      </c>
      <c r="H5" s="2" t="s">
        <v>127</v>
      </c>
      <c r="I5" s="2" t="s">
        <v>35</v>
      </c>
      <c r="J5" s="2" t="s">
        <v>30</v>
      </c>
    </row>
    <row r="6" spans="1:10" ht="52.05" customHeight="1">
      <c r="A6" s="2" t="s">
        <v>256</v>
      </c>
      <c r="B6" s="2" t="s">
        <v>257</v>
      </c>
      <c r="C6" s="2" t="s">
        <v>258</v>
      </c>
      <c r="D6" s="2" t="s">
        <v>259</v>
      </c>
      <c r="E6" s="2" t="s">
        <v>125</v>
      </c>
      <c r="F6" s="2" t="s">
        <v>262</v>
      </c>
      <c r="G6" s="2" t="s">
        <v>263</v>
      </c>
      <c r="H6" s="2"/>
      <c r="I6" s="2" t="s">
        <v>166</v>
      </c>
      <c r="J6" s="2" t="s">
        <v>261</v>
      </c>
    </row>
    <row r="7" spans="1:10" ht="52.05" customHeight="1">
      <c r="A7" s="2" t="s">
        <v>264</v>
      </c>
      <c r="B7" s="2" t="s">
        <v>257</v>
      </c>
      <c r="C7" s="2" t="s">
        <v>258</v>
      </c>
      <c r="D7" s="2" t="s">
        <v>265</v>
      </c>
      <c r="E7" s="2" t="s">
        <v>125</v>
      </c>
      <c r="F7" s="2" t="s">
        <v>262</v>
      </c>
      <c r="G7" s="2" t="s">
        <v>266</v>
      </c>
      <c r="H7" s="2" t="s">
        <v>267</v>
      </c>
      <c r="I7" s="2" t="s">
        <v>166</v>
      </c>
      <c r="J7" s="2" t="s">
        <v>261</v>
      </c>
    </row>
    <row r="8" spans="1:10" ht="52.05" customHeight="1">
      <c r="A8" s="2" t="s">
        <v>268</v>
      </c>
      <c r="B8" s="2" t="s">
        <v>257</v>
      </c>
      <c r="C8" s="2" t="s">
        <v>269</v>
      </c>
      <c r="D8" s="2" t="s">
        <v>270</v>
      </c>
      <c r="E8" s="2" t="s">
        <v>125</v>
      </c>
      <c r="F8" s="2" t="s">
        <v>262</v>
      </c>
      <c r="G8" s="2" t="s">
        <v>271</v>
      </c>
      <c r="H8" s="2" t="s">
        <v>272</v>
      </c>
      <c r="I8" s="2" t="s">
        <v>166</v>
      </c>
      <c r="J8" s="2" t="s">
        <v>261</v>
      </c>
    </row>
    <row r="9" spans="1:10" ht="52.05" customHeight="1">
      <c r="A9" s="2" t="s">
        <v>273</v>
      </c>
      <c r="B9" s="2" t="s">
        <v>257</v>
      </c>
      <c r="C9" s="2" t="s">
        <v>258</v>
      </c>
      <c r="D9" s="2" t="s">
        <v>274</v>
      </c>
      <c r="E9" s="2" t="s">
        <v>125</v>
      </c>
      <c r="F9" s="2" t="s">
        <v>262</v>
      </c>
      <c r="G9" s="2" t="s">
        <v>276</v>
      </c>
      <c r="H9" s="2"/>
      <c r="I9" s="2" t="s">
        <v>166</v>
      </c>
      <c r="J9" s="2" t="s">
        <v>261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opLeftCell="J1" workbookViewId="0">
      <pane ySplit="4" topLeftCell="A9" activePane="bottomLeft" state="frozen"/>
      <selection pane="bottomLeft" activeCell="M4" sqref="M4"/>
    </sheetView>
  </sheetViews>
  <sheetFormatPr baseColWidth="10" defaultColWidth="8.796875" defaultRowHeight="13.8"/>
  <cols>
    <col min="1" max="1" width="14" customWidth="1"/>
    <col min="2" max="2" width="28" customWidth="1"/>
    <col min="3" max="3" width="48" customWidth="1"/>
    <col min="4" max="4" width="26" customWidth="1"/>
    <col min="5" max="6" width="22" customWidth="1"/>
    <col min="7" max="7" width="20" customWidth="1"/>
    <col min="8" max="8" width="23" customWidth="1"/>
    <col min="9" max="9" width="24" customWidth="1"/>
    <col min="10" max="10" width="35" customWidth="1"/>
    <col min="11" max="11" width="66" customWidth="1"/>
    <col min="12" max="12" width="59" customWidth="1"/>
    <col min="13" max="13" width="17" customWidth="1"/>
  </cols>
  <sheetData>
    <row r="1" spans="1:13" ht="31.95" customHeight="1">
      <c r="A1" s="9" t="s">
        <v>464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42" customHeight="1">
      <c r="A2" s="10" t="s">
        <v>465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7.049999999999997" customHeight="1">
      <c r="A4" s="1" t="s">
        <v>438</v>
      </c>
      <c r="B4" s="1" t="s">
        <v>3</v>
      </c>
      <c r="C4" s="1" t="s">
        <v>466</v>
      </c>
      <c r="D4" s="1" t="s">
        <v>6</v>
      </c>
      <c r="E4" s="1" t="s">
        <v>467</v>
      </c>
      <c r="F4" s="1" t="s">
        <v>468</v>
      </c>
      <c r="G4" s="1" t="s">
        <v>469</v>
      </c>
      <c r="H4" s="1" t="s">
        <v>470</v>
      </c>
      <c r="I4" s="1" t="s">
        <v>471</v>
      </c>
      <c r="J4" s="1" t="s">
        <v>472</v>
      </c>
      <c r="K4" s="1" t="s">
        <v>473</v>
      </c>
      <c r="L4" s="1" t="s">
        <v>474</v>
      </c>
    </row>
    <row r="5" spans="1:13" ht="48" customHeight="1">
      <c r="A5" s="2" t="s">
        <v>190</v>
      </c>
      <c r="B5" s="2" t="s">
        <v>63</v>
      </c>
      <c r="C5" s="2" t="s">
        <v>192</v>
      </c>
      <c r="D5" s="2" t="s">
        <v>66</v>
      </c>
      <c r="E5" s="5"/>
      <c r="F5" s="5">
        <v>50000</v>
      </c>
      <c r="G5" s="2" t="s">
        <v>197</v>
      </c>
      <c r="H5" s="2"/>
      <c r="I5" s="2"/>
      <c r="J5" s="2" t="s">
        <v>195</v>
      </c>
      <c r="K5" s="2"/>
      <c r="L5" s="2"/>
    </row>
    <row r="6" spans="1:13" ht="48" customHeight="1">
      <c r="A6" s="2" t="s">
        <v>198</v>
      </c>
      <c r="B6" s="2" t="s">
        <v>63</v>
      </c>
      <c r="C6" s="2" t="s">
        <v>199</v>
      </c>
      <c r="D6" s="2" t="s">
        <v>66</v>
      </c>
      <c r="E6" s="5"/>
      <c r="F6" s="5">
        <v>200000</v>
      </c>
      <c r="G6" s="2" t="s">
        <v>197</v>
      </c>
      <c r="H6" s="2"/>
      <c r="I6" s="2"/>
      <c r="J6" s="2" t="s">
        <v>200</v>
      </c>
      <c r="K6" s="2"/>
      <c r="L6" s="2"/>
    </row>
    <row r="7" spans="1:13" ht="48" customHeight="1">
      <c r="A7" s="2" t="s">
        <v>201</v>
      </c>
      <c r="B7" s="2" t="s">
        <v>63</v>
      </c>
      <c r="C7" s="2" t="s">
        <v>203</v>
      </c>
      <c r="D7" s="2" t="s">
        <v>66</v>
      </c>
      <c r="E7" s="5">
        <v>1000</v>
      </c>
      <c r="F7" s="5">
        <v>50000</v>
      </c>
      <c r="G7" s="2" t="s">
        <v>197</v>
      </c>
      <c r="H7" s="2"/>
      <c r="I7" s="2"/>
      <c r="J7" s="2" t="s">
        <v>204</v>
      </c>
      <c r="K7" s="2" t="s">
        <v>205</v>
      </c>
      <c r="L7" s="2" t="s">
        <v>206</v>
      </c>
    </row>
    <row r="8" spans="1:13" ht="48" customHeight="1">
      <c r="A8" s="2" t="s">
        <v>207</v>
      </c>
      <c r="B8" s="2" t="s">
        <v>150</v>
      </c>
      <c r="C8" s="2" t="s">
        <v>209</v>
      </c>
      <c r="D8" s="2" t="s">
        <v>28</v>
      </c>
      <c r="E8" s="5">
        <v>1000</v>
      </c>
      <c r="F8" s="5">
        <v>200000</v>
      </c>
      <c r="G8" s="2" t="s">
        <v>197</v>
      </c>
      <c r="H8" s="2"/>
      <c r="I8" s="2"/>
      <c r="J8" s="2" t="s">
        <v>211</v>
      </c>
      <c r="K8" s="2" t="s">
        <v>212</v>
      </c>
      <c r="L8" s="2" t="s">
        <v>213</v>
      </c>
    </row>
    <row r="9" spans="1:13" ht="48" customHeight="1">
      <c r="A9" s="2" t="s">
        <v>228</v>
      </c>
      <c r="B9" s="2" t="s">
        <v>63</v>
      </c>
      <c r="C9" s="2" t="s">
        <v>229</v>
      </c>
      <c r="D9" s="2" t="s">
        <v>66</v>
      </c>
      <c r="E9" s="5"/>
      <c r="F9" s="5"/>
      <c r="G9" s="2"/>
      <c r="H9" s="2"/>
      <c r="I9" s="2"/>
      <c r="J9" s="2" t="s">
        <v>231</v>
      </c>
      <c r="K9" s="2" t="s">
        <v>232</v>
      </c>
      <c r="L9" s="2" t="s">
        <v>233</v>
      </c>
    </row>
    <row r="10" spans="1:13" ht="48" customHeight="1">
      <c r="A10" s="2" t="s">
        <v>234</v>
      </c>
      <c r="B10" s="2" t="s">
        <v>63</v>
      </c>
      <c r="C10" s="2" t="s">
        <v>235</v>
      </c>
      <c r="D10" s="2" t="s">
        <v>66</v>
      </c>
      <c r="E10" s="5"/>
      <c r="F10" s="5"/>
      <c r="G10" s="2"/>
      <c r="H10" s="2">
        <v>98</v>
      </c>
      <c r="I10" s="2"/>
      <c r="J10" s="2" t="s">
        <v>237</v>
      </c>
      <c r="K10" s="2" t="s">
        <v>238</v>
      </c>
      <c r="L10" s="2"/>
    </row>
    <row r="11" spans="1:13" ht="48" customHeight="1">
      <c r="A11" s="2" t="s">
        <v>239</v>
      </c>
      <c r="B11" s="2" t="s">
        <v>63</v>
      </c>
      <c r="C11" s="2" t="s">
        <v>240</v>
      </c>
      <c r="D11" s="2" t="s">
        <v>66</v>
      </c>
      <c r="E11" s="5"/>
      <c r="F11" s="5"/>
      <c r="G11" s="2"/>
      <c r="H11" s="2">
        <v>45</v>
      </c>
      <c r="I11" s="2"/>
      <c r="J11" s="2" t="s">
        <v>241</v>
      </c>
      <c r="K11" s="2" t="s">
        <v>242</v>
      </c>
      <c r="L11" s="2" t="s">
        <v>243</v>
      </c>
    </row>
    <row r="12" spans="1:13" ht="48" customHeight="1">
      <c r="A12" s="2" t="s">
        <v>244</v>
      </c>
      <c r="B12" s="2" t="s">
        <v>63</v>
      </c>
      <c r="C12" s="2" t="s">
        <v>245</v>
      </c>
      <c r="D12" s="2" t="s">
        <v>66</v>
      </c>
      <c r="E12" s="5"/>
      <c r="F12" s="5"/>
      <c r="G12" s="2"/>
      <c r="H12" s="2">
        <v>90</v>
      </c>
      <c r="I12" s="2"/>
      <c r="J12" s="2" t="s">
        <v>246</v>
      </c>
      <c r="K12" s="2"/>
      <c r="L12" s="2"/>
    </row>
    <row r="13" spans="1:13" ht="48" customHeight="1">
      <c r="A13" s="2" t="s">
        <v>247</v>
      </c>
      <c r="B13" s="2" t="s">
        <v>63</v>
      </c>
      <c r="C13" s="2" t="s">
        <v>248</v>
      </c>
      <c r="D13" s="2" t="s">
        <v>66</v>
      </c>
      <c r="E13" s="5"/>
      <c r="F13" s="5"/>
      <c r="G13" s="2"/>
      <c r="H13" s="2">
        <v>120</v>
      </c>
      <c r="I13" s="2"/>
      <c r="J13" s="2" t="s">
        <v>249</v>
      </c>
      <c r="K13" s="2"/>
      <c r="L13" s="2"/>
    </row>
    <row r="14" spans="1:13" ht="48" customHeight="1">
      <c r="A14" s="2" t="s">
        <v>420</v>
      </c>
      <c r="B14" s="2" t="s">
        <v>336</v>
      </c>
      <c r="C14" s="2" t="s">
        <v>421</v>
      </c>
      <c r="D14" s="2" t="s">
        <v>125</v>
      </c>
      <c r="E14" s="5"/>
      <c r="F14" s="5"/>
      <c r="G14" s="2"/>
      <c r="H14" s="2"/>
      <c r="I14" s="2">
        <v>12</v>
      </c>
      <c r="J14" s="2" t="s">
        <v>423</v>
      </c>
      <c r="K14" s="2" t="s">
        <v>424</v>
      </c>
      <c r="L14" s="2" t="s">
        <v>475</v>
      </c>
    </row>
    <row r="15" spans="1:13" ht="48" customHeight="1">
      <c r="A15" s="2" t="s">
        <v>425</v>
      </c>
      <c r="B15" s="2" t="s">
        <v>336</v>
      </c>
      <c r="C15" s="2" t="s">
        <v>426</v>
      </c>
      <c r="D15" s="2" t="s">
        <v>125</v>
      </c>
      <c r="E15" s="5"/>
      <c r="F15" s="5"/>
      <c r="G15" s="2"/>
      <c r="H15" s="2"/>
      <c r="I15" s="2">
        <v>6</v>
      </c>
      <c r="J15" s="2" t="s">
        <v>428</v>
      </c>
      <c r="K15" s="2" t="s">
        <v>424</v>
      </c>
      <c r="L15" s="2" t="s">
        <v>429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opLeftCell="E1" workbookViewId="0">
      <pane ySplit="4" topLeftCell="A5" activePane="bottomLeft" state="frozen"/>
      <selection pane="bottomLeft" activeCell="H7" sqref="H7"/>
    </sheetView>
  </sheetViews>
  <sheetFormatPr baseColWidth="10" defaultColWidth="8.796875" defaultRowHeight="13.8"/>
  <cols>
    <col min="1" max="1" width="20" customWidth="1"/>
    <col min="2" max="2" width="29" customWidth="1"/>
    <col min="3" max="4" width="24" customWidth="1"/>
    <col min="5" max="5" width="19" customWidth="1"/>
    <col min="6" max="6" width="26" customWidth="1"/>
    <col min="7" max="8" width="58" customWidth="1"/>
  </cols>
  <sheetData>
    <row r="1" spans="1:8" ht="31.95" customHeight="1">
      <c r="A1" s="9" t="s">
        <v>476</v>
      </c>
      <c r="B1" s="9"/>
      <c r="C1" s="9"/>
      <c r="D1" s="9"/>
      <c r="E1" s="9"/>
      <c r="F1" s="9"/>
      <c r="G1" s="9"/>
      <c r="H1" s="9"/>
    </row>
    <row r="2" spans="1:8" ht="42" customHeight="1">
      <c r="A2" s="10" t="s">
        <v>477</v>
      </c>
      <c r="B2" s="10"/>
      <c r="C2" s="10"/>
      <c r="D2" s="10"/>
      <c r="E2" s="10"/>
      <c r="F2" s="10"/>
      <c r="G2" s="10"/>
      <c r="H2" s="10"/>
    </row>
    <row r="4" spans="1:8" ht="37.049999999999997" customHeight="1">
      <c r="A4" s="1" t="s">
        <v>478</v>
      </c>
      <c r="B4" s="1" t="s">
        <v>479</v>
      </c>
      <c r="C4" s="1" t="s">
        <v>480</v>
      </c>
      <c r="D4" s="1" t="s">
        <v>481</v>
      </c>
      <c r="E4" s="1" t="s">
        <v>482</v>
      </c>
      <c r="F4" s="1" t="s">
        <v>483</v>
      </c>
      <c r="G4" s="1" t="s">
        <v>484</v>
      </c>
      <c r="H4" s="1" t="s">
        <v>485</v>
      </c>
    </row>
    <row r="5" spans="1:8" ht="55.05" customHeight="1">
      <c r="A5" s="2" t="s">
        <v>486</v>
      </c>
      <c r="B5" s="2" t="s">
        <v>487</v>
      </c>
      <c r="C5" s="5"/>
      <c r="D5" s="5"/>
      <c r="E5" s="5">
        <v>18</v>
      </c>
      <c r="F5" s="2" t="s">
        <v>488</v>
      </c>
      <c r="G5" s="2" t="s">
        <v>489</v>
      </c>
      <c r="H5" s="2" t="s">
        <v>490</v>
      </c>
    </row>
    <row r="6" spans="1:8" ht="55.05" customHeight="1">
      <c r="A6" s="2" t="s">
        <v>486</v>
      </c>
      <c r="B6" s="2" t="s">
        <v>491</v>
      </c>
      <c r="C6" s="5">
        <v>0</v>
      </c>
      <c r="D6" s="5">
        <v>18000</v>
      </c>
      <c r="E6" s="5">
        <v>2</v>
      </c>
      <c r="F6" s="2" t="s">
        <v>492</v>
      </c>
      <c r="G6" s="2" t="s">
        <v>493</v>
      </c>
      <c r="H6" s="2" t="s">
        <v>494</v>
      </c>
    </row>
    <row r="7" spans="1:8" ht="55.05" customHeight="1">
      <c r="A7" s="2" t="s">
        <v>486</v>
      </c>
      <c r="B7" s="2" t="s">
        <v>495</v>
      </c>
      <c r="C7" s="5">
        <v>18000</v>
      </c>
      <c r="D7" s="5">
        <v>1000000</v>
      </c>
      <c r="E7" s="5">
        <v>3</v>
      </c>
      <c r="F7" s="2" t="s">
        <v>492</v>
      </c>
      <c r="G7" s="2" t="s">
        <v>496</v>
      </c>
      <c r="H7" s="2" t="s">
        <v>497</v>
      </c>
    </row>
    <row r="8" spans="1:8" ht="55.05" customHeight="1">
      <c r="A8" s="2" t="s">
        <v>486</v>
      </c>
      <c r="B8" s="2" t="s">
        <v>498</v>
      </c>
      <c r="C8" s="5">
        <v>1000000</v>
      </c>
      <c r="D8" s="5"/>
      <c r="E8" s="5">
        <v>6</v>
      </c>
      <c r="F8" s="2" t="s">
        <v>492</v>
      </c>
      <c r="G8" s="2" t="s">
        <v>499</v>
      </c>
      <c r="H8" s="2" t="s">
        <v>500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E1" workbookViewId="0">
      <pane ySplit="4" topLeftCell="A5" activePane="bottomLeft" state="frozen"/>
      <selection pane="bottomLeft" activeCell="F7" sqref="F7"/>
    </sheetView>
  </sheetViews>
  <sheetFormatPr baseColWidth="10" defaultColWidth="8.796875" defaultRowHeight="13.8"/>
  <cols>
    <col min="1" max="1" width="38" customWidth="1"/>
    <col min="2" max="2" width="29" customWidth="1"/>
    <col min="3" max="3" width="25" customWidth="1"/>
    <col min="4" max="4" width="76" customWidth="1"/>
    <col min="5" max="5" width="37" customWidth="1"/>
    <col min="6" max="6" width="75" customWidth="1"/>
  </cols>
  <sheetData>
    <row r="1" spans="1:6" ht="31.95" customHeight="1">
      <c r="A1" s="9" t="s">
        <v>501</v>
      </c>
      <c r="B1" s="9"/>
      <c r="C1" s="9"/>
      <c r="D1" s="9"/>
      <c r="E1" s="9"/>
      <c r="F1" s="9"/>
    </row>
    <row r="2" spans="1:6" ht="42" customHeight="1">
      <c r="A2" s="10" t="s">
        <v>502</v>
      </c>
      <c r="B2" s="10"/>
      <c r="C2" s="10"/>
      <c r="D2" s="10"/>
      <c r="E2" s="10"/>
      <c r="F2" s="10"/>
    </row>
    <row r="4" spans="1:6" ht="37.049999999999997" customHeight="1">
      <c r="A4" s="1" t="s">
        <v>503</v>
      </c>
      <c r="B4" s="1" t="s">
        <v>504</v>
      </c>
      <c r="C4" s="1" t="s">
        <v>505</v>
      </c>
      <c r="D4" s="1" t="s">
        <v>506</v>
      </c>
      <c r="E4" s="1" t="s">
        <v>507</v>
      </c>
      <c r="F4" s="1" t="s">
        <v>508</v>
      </c>
    </row>
    <row r="5" spans="1:6" ht="55.95" customHeight="1">
      <c r="A5" s="2" t="s">
        <v>509</v>
      </c>
      <c r="B5" s="2" t="s">
        <v>28</v>
      </c>
      <c r="C5" s="2" t="s">
        <v>510</v>
      </c>
      <c r="D5" s="2" t="s">
        <v>511</v>
      </c>
      <c r="E5" s="2" t="s">
        <v>512</v>
      </c>
      <c r="F5" s="2" t="s">
        <v>513</v>
      </c>
    </row>
    <row r="6" spans="1:6" ht="55.95" customHeight="1">
      <c r="A6" s="2" t="s">
        <v>514</v>
      </c>
      <c r="B6" s="2" t="s">
        <v>28</v>
      </c>
      <c r="C6" s="2" t="s">
        <v>510</v>
      </c>
      <c r="D6" s="2" t="s">
        <v>515</v>
      </c>
      <c r="E6" s="2" t="s">
        <v>516</v>
      </c>
      <c r="F6" s="2" t="s">
        <v>517</v>
      </c>
    </row>
    <row r="7" spans="1:6" ht="55.95" customHeight="1">
      <c r="A7" s="2" t="s">
        <v>518</v>
      </c>
      <c r="B7" s="2" t="s">
        <v>28</v>
      </c>
      <c r="C7" s="2" t="s">
        <v>519</v>
      </c>
      <c r="D7" s="2" t="s">
        <v>520</v>
      </c>
      <c r="E7" s="2" t="s">
        <v>521</v>
      </c>
      <c r="F7" s="2" t="s">
        <v>522</v>
      </c>
    </row>
    <row r="8" spans="1:6" ht="55.95" customHeight="1">
      <c r="A8" s="2" t="s">
        <v>523</v>
      </c>
      <c r="B8" s="2" t="s">
        <v>28</v>
      </c>
      <c r="C8" s="2" t="s">
        <v>510</v>
      </c>
      <c r="D8" s="2" t="s">
        <v>524</v>
      </c>
      <c r="E8" s="2" t="s">
        <v>525</v>
      </c>
      <c r="F8" s="2" t="s">
        <v>526</v>
      </c>
    </row>
    <row r="9" spans="1:6" ht="55.95" customHeight="1">
      <c r="A9" s="2" t="s">
        <v>527</v>
      </c>
      <c r="B9" s="2" t="s">
        <v>303</v>
      </c>
      <c r="C9" s="2" t="s">
        <v>510</v>
      </c>
      <c r="D9" s="2" t="s">
        <v>528</v>
      </c>
      <c r="E9" s="2" t="s">
        <v>529</v>
      </c>
      <c r="F9" s="2" t="s">
        <v>530</v>
      </c>
    </row>
    <row r="10" spans="1:6" ht="55.95" customHeight="1">
      <c r="A10" s="2" t="s">
        <v>531</v>
      </c>
      <c r="B10" s="2" t="s">
        <v>28</v>
      </c>
      <c r="C10" s="2" t="s">
        <v>510</v>
      </c>
      <c r="D10" s="2" t="s">
        <v>532</v>
      </c>
      <c r="E10" s="2" t="s">
        <v>533</v>
      </c>
      <c r="F10" s="2" t="s">
        <v>534</v>
      </c>
    </row>
    <row r="11" spans="1:6" ht="55.95" customHeight="1">
      <c r="A11" s="2" t="s">
        <v>535</v>
      </c>
      <c r="B11" s="2" t="s">
        <v>28</v>
      </c>
      <c r="C11" s="2" t="s">
        <v>519</v>
      </c>
      <c r="D11" s="2" t="s">
        <v>536</v>
      </c>
      <c r="E11" s="2" t="s">
        <v>537</v>
      </c>
      <c r="F11" s="2" t="s">
        <v>538</v>
      </c>
    </row>
    <row r="12" spans="1:6" ht="55.95" customHeight="1">
      <c r="A12" s="2" t="s">
        <v>539</v>
      </c>
      <c r="B12" s="2" t="s">
        <v>540</v>
      </c>
      <c r="C12" s="2" t="s">
        <v>541</v>
      </c>
      <c r="D12" s="2" t="s">
        <v>542</v>
      </c>
      <c r="E12" s="2" t="s">
        <v>543</v>
      </c>
      <c r="F12" s="2" t="s">
        <v>544</v>
      </c>
    </row>
    <row r="13" spans="1:6" ht="55.95" customHeight="1">
      <c r="A13" s="2" t="s">
        <v>545</v>
      </c>
      <c r="B13" s="2" t="s">
        <v>540</v>
      </c>
      <c r="C13" s="2" t="s">
        <v>541</v>
      </c>
      <c r="D13" s="2" t="s">
        <v>546</v>
      </c>
      <c r="E13" s="2" t="s">
        <v>543</v>
      </c>
      <c r="F13" s="2" t="s">
        <v>547</v>
      </c>
    </row>
    <row r="14" spans="1:6" ht="55.95" customHeight="1">
      <c r="A14" s="2" t="s">
        <v>548</v>
      </c>
      <c r="B14" s="2" t="s">
        <v>540</v>
      </c>
      <c r="C14" s="2" t="s">
        <v>541</v>
      </c>
      <c r="D14" s="2" t="s">
        <v>549</v>
      </c>
      <c r="E14" s="2" t="s">
        <v>121</v>
      </c>
      <c r="F14" s="2" t="s">
        <v>550</v>
      </c>
    </row>
    <row r="15" spans="1:6" ht="55.95" customHeight="1">
      <c r="A15" s="2" t="s">
        <v>551</v>
      </c>
      <c r="B15" s="2" t="s">
        <v>125</v>
      </c>
      <c r="C15" s="2" t="s">
        <v>519</v>
      </c>
      <c r="D15" s="2" t="s">
        <v>552</v>
      </c>
      <c r="E15" s="2" t="s">
        <v>121</v>
      </c>
      <c r="F15" s="2" t="s">
        <v>553</v>
      </c>
    </row>
    <row r="16" spans="1:6" ht="55.95" customHeight="1">
      <c r="A16" s="2" t="s">
        <v>554</v>
      </c>
      <c r="B16" s="2" t="s">
        <v>28</v>
      </c>
      <c r="C16" s="2" t="s">
        <v>519</v>
      </c>
      <c r="D16" s="2" t="s">
        <v>555</v>
      </c>
      <c r="E16" s="2" t="s">
        <v>95</v>
      </c>
      <c r="F16" s="2" t="s">
        <v>556</v>
      </c>
    </row>
    <row r="17" spans="1:6" ht="55.95" customHeight="1">
      <c r="A17" s="2" t="s">
        <v>557</v>
      </c>
      <c r="B17" s="2" t="s">
        <v>540</v>
      </c>
      <c r="C17" s="2" t="s">
        <v>541</v>
      </c>
      <c r="D17" s="2" t="s">
        <v>558</v>
      </c>
      <c r="E17" s="2" t="s">
        <v>543</v>
      </c>
      <c r="F17" s="2" t="s">
        <v>559</v>
      </c>
    </row>
    <row r="18" spans="1:6" ht="55.95" customHeight="1">
      <c r="A18" s="2" t="s">
        <v>560</v>
      </c>
      <c r="B18" s="2" t="s">
        <v>561</v>
      </c>
      <c r="C18" s="2" t="s">
        <v>562</v>
      </c>
      <c r="D18" s="2" t="s">
        <v>563</v>
      </c>
      <c r="E18" s="2" t="s">
        <v>564</v>
      </c>
      <c r="F18" s="2" t="s">
        <v>565</v>
      </c>
    </row>
    <row r="19" spans="1:6" ht="55.95" customHeight="1">
      <c r="A19" s="2" t="s">
        <v>566</v>
      </c>
      <c r="B19" s="2" t="s">
        <v>567</v>
      </c>
      <c r="C19" s="2" t="s">
        <v>568</v>
      </c>
      <c r="D19" s="2" t="s">
        <v>569</v>
      </c>
      <c r="E19" s="2" t="s">
        <v>570</v>
      </c>
      <c r="F19" s="2" t="s">
        <v>571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4" topLeftCell="A5" activePane="bottomLeft" state="frozen"/>
      <selection pane="bottomLeft" activeCell="B4" sqref="B4"/>
    </sheetView>
  </sheetViews>
  <sheetFormatPr baseColWidth="10" defaultColWidth="8.796875" defaultRowHeight="13.8"/>
  <cols>
    <col min="1" max="2" width="18" customWidth="1"/>
    <col min="3" max="3" width="28" customWidth="1"/>
    <col min="4" max="4" width="83" customWidth="1"/>
    <col min="5" max="5" width="82" customWidth="1"/>
    <col min="6" max="6" width="38" customWidth="1"/>
  </cols>
  <sheetData>
    <row r="1" spans="1:6" ht="31.95" customHeight="1">
      <c r="A1" s="9" t="s">
        <v>572</v>
      </c>
      <c r="B1" s="9"/>
      <c r="C1" s="9"/>
      <c r="D1" s="9"/>
      <c r="E1" s="9"/>
      <c r="F1" s="9"/>
    </row>
    <row r="2" spans="1:6" ht="42" customHeight="1">
      <c r="A2" s="10" t="s">
        <v>573</v>
      </c>
      <c r="B2" s="10"/>
      <c r="C2" s="10"/>
      <c r="D2" s="10"/>
      <c r="E2" s="10"/>
      <c r="F2" s="10"/>
    </row>
    <row r="4" spans="1:6" ht="37.049999999999997" customHeight="1">
      <c r="A4" s="1" t="s">
        <v>574</v>
      </c>
      <c r="B4" s="1" t="s">
        <v>575</v>
      </c>
      <c r="C4" s="1" t="s">
        <v>576</v>
      </c>
      <c r="D4" s="1" t="s">
        <v>577</v>
      </c>
      <c r="E4" s="1" t="s">
        <v>578</v>
      </c>
    </row>
    <row r="5" spans="1:6" ht="55.95" customHeight="1">
      <c r="A5" s="2" t="s">
        <v>579</v>
      </c>
      <c r="B5" s="2" t="s">
        <v>580</v>
      </c>
      <c r="C5" s="2" t="s">
        <v>581</v>
      </c>
      <c r="D5" s="2" t="s">
        <v>582</v>
      </c>
      <c r="E5" s="2" t="s">
        <v>583</v>
      </c>
    </row>
    <row r="6" spans="1:6" ht="55.95" customHeight="1">
      <c r="A6" s="2" t="s">
        <v>584</v>
      </c>
      <c r="B6" s="2" t="s">
        <v>77</v>
      </c>
      <c r="C6" s="2" t="s">
        <v>585</v>
      </c>
      <c r="D6" s="2" t="s">
        <v>586</v>
      </c>
      <c r="E6" s="2" t="s">
        <v>587</v>
      </c>
    </row>
    <row r="7" spans="1:6" ht="55.95" customHeight="1">
      <c r="A7" s="2" t="s">
        <v>588</v>
      </c>
      <c r="B7" s="2" t="s">
        <v>171</v>
      </c>
      <c r="C7" s="2" t="s">
        <v>589</v>
      </c>
      <c r="D7" s="2" t="s">
        <v>590</v>
      </c>
      <c r="E7" s="2" t="s">
        <v>591</v>
      </c>
    </row>
    <row r="8" spans="1:6" ht="55.95" customHeight="1">
      <c r="A8" s="2" t="s">
        <v>592</v>
      </c>
      <c r="B8" s="2" t="s">
        <v>593</v>
      </c>
      <c r="C8" s="2" t="s">
        <v>594</v>
      </c>
      <c r="D8" s="2" t="s">
        <v>595</v>
      </c>
      <c r="E8" s="2" t="s">
        <v>596</v>
      </c>
    </row>
    <row r="9" spans="1:6" ht="55.95" customHeight="1">
      <c r="A9" s="2" t="s">
        <v>597</v>
      </c>
      <c r="B9" s="2" t="s">
        <v>598</v>
      </c>
      <c r="C9" s="2" t="s">
        <v>599</v>
      </c>
      <c r="D9" s="2" t="s">
        <v>600</v>
      </c>
      <c r="E9" s="2" t="s">
        <v>601</v>
      </c>
    </row>
    <row r="10" spans="1:6" ht="55.95" customHeight="1">
      <c r="A10" s="2" t="s">
        <v>602</v>
      </c>
      <c r="B10" s="2" t="s">
        <v>603</v>
      </c>
      <c r="C10" s="2" t="s">
        <v>604</v>
      </c>
      <c r="D10" s="2" t="s">
        <v>605</v>
      </c>
      <c r="E10" s="2" t="s">
        <v>606</v>
      </c>
    </row>
    <row r="11" spans="1:6" ht="55.95" customHeight="1">
      <c r="A11" s="2" t="s">
        <v>607</v>
      </c>
      <c r="B11" s="2" t="s">
        <v>318</v>
      </c>
      <c r="C11" s="2" t="s">
        <v>608</v>
      </c>
      <c r="D11" s="2" t="s">
        <v>609</v>
      </c>
      <c r="E11" s="2" t="s">
        <v>610</v>
      </c>
    </row>
    <row r="12" spans="1:6" ht="55.95" customHeight="1">
      <c r="A12" s="2" t="s">
        <v>611</v>
      </c>
      <c r="B12" s="2" t="s">
        <v>612</v>
      </c>
      <c r="C12" s="2" t="s">
        <v>613</v>
      </c>
      <c r="D12" s="2" t="s">
        <v>614</v>
      </c>
      <c r="E12" s="2" t="s">
        <v>615</v>
      </c>
    </row>
    <row r="13" spans="1:6" ht="55.95" customHeight="1">
      <c r="A13" s="2" t="s">
        <v>616</v>
      </c>
      <c r="B13" s="2" t="s">
        <v>617</v>
      </c>
      <c r="C13" s="2" t="s">
        <v>618</v>
      </c>
      <c r="D13" s="2" t="s">
        <v>619</v>
      </c>
      <c r="E13" s="2" t="s">
        <v>620</v>
      </c>
    </row>
    <row r="14" spans="1:6" ht="55.95" customHeight="1">
      <c r="A14" s="2" t="s">
        <v>621</v>
      </c>
      <c r="B14" s="2" t="s">
        <v>121</v>
      </c>
      <c r="C14" s="2" t="s">
        <v>622</v>
      </c>
      <c r="D14" s="2" t="s">
        <v>623</v>
      </c>
      <c r="E14" s="2" t="s">
        <v>624</v>
      </c>
    </row>
    <row r="15" spans="1:6" ht="55.95" customHeight="1">
      <c r="A15" s="2" t="s">
        <v>625</v>
      </c>
      <c r="B15" s="2" t="s">
        <v>626</v>
      </c>
      <c r="C15" s="2" t="s">
        <v>627</v>
      </c>
      <c r="D15" s="2" t="s">
        <v>628</v>
      </c>
      <c r="E15" s="2" t="s">
        <v>629</v>
      </c>
    </row>
    <row r="16" spans="1:6" ht="55.95" customHeight="1">
      <c r="A16" s="2" t="s">
        <v>630</v>
      </c>
      <c r="B16" s="2" t="s">
        <v>631</v>
      </c>
      <c r="C16" s="2" t="s">
        <v>632</v>
      </c>
      <c r="D16" s="2" t="s">
        <v>633</v>
      </c>
      <c r="E16" s="2" t="s">
        <v>634</v>
      </c>
    </row>
    <row r="17" spans="1:5" ht="55.95" customHeight="1">
      <c r="A17" s="2" t="s">
        <v>635</v>
      </c>
      <c r="B17" s="2" t="s">
        <v>636</v>
      </c>
      <c r="C17" s="2" t="s">
        <v>637</v>
      </c>
      <c r="D17" s="2" t="s">
        <v>638</v>
      </c>
      <c r="E17" s="2" t="s">
        <v>639</v>
      </c>
    </row>
    <row r="18" spans="1:5" ht="55.95" customHeight="1">
      <c r="A18" s="2" t="s">
        <v>640</v>
      </c>
      <c r="B18" s="2" t="s">
        <v>641</v>
      </c>
      <c r="C18" s="2" t="s">
        <v>642</v>
      </c>
      <c r="D18" s="2" t="s">
        <v>643</v>
      </c>
      <c r="E18" s="2" t="s">
        <v>644</v>
      </c>
    </row>
    <row r="19" spans="1:5" ht="55.95" customHeight="1">
      <c r="A19" s="2" t="s">
        <v>645</v>
      </c>
      <c r="B19" s="2" t="s">
        <v>145</v>
      </c>
      <c r="C19" s="2" t="s">
        <v>646</v>
      </c>
      <c r="D19" s="2" t="s">
        <v>647</v>
      </c>
      <c r="E19" s="2" t="s">
        <v>648</v>
      </c>
    </row>
    <row r="20" spans="1:5" ht="55.95" customHeight="1">
      <c r="A20" s="2" t="s">
        <v>649</v>
      </c>
      <c r="B20" s="2" t="s">
        <v>650</v>
      </c>
      <c r="C20" s="2" t="s">
        <v>651</v>
      </c>
      <c r="D20" s="2" t="s">
        <v>652</v>
      </c>
      <c r="E20" s="2" t="s">
        <v>653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9"/>
  <sheetViews>
    <sheetView topLeftCell="AA1" workbookViewId="0">
      <pane ySplit="4" topLeftCell="A5" activePane="bottomLeft" state="frozen"/>
      <selection pane="bottomLeft" activeCell="AB10" sqref="AB10"/>
    </sheetView>
  </sheetViews>
  <sheetFormatPr baseColWidth="10" defaultColWidth="8.796875" defaultRowHeight="13.8"/>
  <cols>
    <col min="1" max="1" width="26" customWidth="1"/>
    <col min="2" max="2" width="22" customWidth="1"/>
    <col min="3" max="3" width="16" customWidth="1"/>
    <col min="4" max="4" width="15" customWidth="1"/>
    <col min="5" max="5" width="34" customWidth="1"/>
    <col min="6" max="6" width="27" customWidth="1"/>
    <col min="7" max="7" width="28" customWidth="1"/>
    <col min="8" max="8" width="49" customWidth="1"/>
    <col min="9" max="9" width="29" customWidth="1"/>
    <col min="10" max="10" width="21" customWidth="1"/>
    <col min="11" max="11" width="34" customWidth="1"/>
    <col min="12" max="12" width="19" customWidth="1"/>
    <col min="13" max="13" width="22" customWidth="1"/>
    <col min="14" max="14" width="20" customWidth="1"/>
    <col min="15" max="15" width="29" customWidth="1"/>
    <col min="16" max="17" width="21" customWidth="1"/>
    <col min="18" max="18" width="22" customWidth="1"/>
    <col min="19" max="19" width="20" customWidth="1"/>
    <col min="20" max="20" width="21" customWidth="1"/>
    <col min="21" max="21" width="26" customWidth="1"/>
    <col min="22" max="22" width="18" customWidth="1"/>
    <col min="23" max="23" width="36" customWidth="1"/>
    <col min="24" max="24" width="61" customWidth="1"/>
    <col min="25" max="25" width="16" customWidth="1"/>
    <col min="26" max="26" width="24" customWidth="1"/>
    <col min="27" max="27" width="19" customWidth="1"/>
    <col min="28" max="28" width="20" customWidth="1"/>
    <col min="29" max="29" width="30" customWidth="1"/>
    <col min="30" max="30" width="17" customWidth="1"/>
    <col min="31" max="31" width="18" customWidth="1"/>
    <col min="32" max="32" width="62" customWidth="1"/>
  </cols>
  <sheetData>
    <row r="1" spans="1:32" ht="31.95" customHeight="1">
      <c r="A1" s="9" t="s">
        <v>654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42" customHeight="1">
      <c r="A2" s="10" t="s">
        <v>655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4" spans="1:32" ht="37.049999999999997" customHeight="1">
      <c r="A4" s="1" t="s">
        <v>656</v>
      </c>
      <c r="B4" s="1" t="s">
        <v>657</v>
      </c>
      <c r="C4" s="1" t="s">
        <v>658</v>
      </c>
      <c r="D4" s="1" t="s">
        <v>659</v>
      </c>
      <c r="E4" s="1" t="s">
        <v>660</v>
      </c>
      <c r="F4" s="1" t="s">
        <v>661</v>
      </c>
      <c r="G4" s="1" t="s">
        <v>662</v>
      </c>
      <c r="H4" s="1" t="s">
        <v>663</v>
      </c>
      <c r="I4" s="1" t="s">
        <v>664</v>
      </c>
      <c r="J4" s="1" t="s">
        <v>665</v>
      </c>
      <c r="K4" s="1" t="s">
        <v>666</v>
      </c>
      <c r="L4" s="1" t="s">
        <v>667</v>
      </c>
      <c r="M4" s="1" t="s">
        <v>668</v>
      </c>
      <c r="N4" s="1" t="s">
        <v>669</v>
      </c>
      <c r="O4" s="1" t="s">
        <v>670</v>
      </c>
      <c r="P4" s="1" t="s">
        <v>671</v>
      </c>
      <c r="Q4" s="1" t="s">
        <v>672</v>
      </c>
      <c r="R4" s="1" t="s">
        <v>673</v>
      </c>
      <c r="S4" s="1" t="s">
        <v>674</v>
      </c>
      <c r="T4" s="1" t="s">
        <v>675</v>
      </c>
      <c r="U4" s="1" t="s">
        <v>676</v>
      </c>
      <c r="V4" s="1" t="s">
        <v>677</v>
      </c>
      <c r="W4" s="1" t="s">
        <v>678</v>
      </c>
      <c r="X4" s="1" t="s">
        <v>679</v>
      </c>
      <c r="Y4" s="1" t="s">
        <v>680</v>
      </c>
      <c r="Z4" s="1" t="s">
        <v>681</v>
      </c>
      <c r="AA4" s="1" t="s">
        <v>682</v>
      </c>
      <c r="AB4" s="1" t="s">
        <v>683</v>
      </c>
      <c r="AC4" s="1" t="s">
        <v>684</v>
      </c>
      <c r="AD4" s="1" t="s">
        <v>685</v>
      </c>
      <c r="AE4" s="1" t="s">
        <v>686</v>
      </c>
      <c r="AF4" s="1" t="s">
        <v>687</v>
      </c>
    </row>
    <row r="5" spans="1:32" ht="43.05" customHeight="1">
      <c r="A5" s="2" t="s">
        <v>688</v>
      </c>
      <c r="B5" s="2" t="s">
        <v>689</v>
      </c>
      <c r="C5" s="2" t="s">
        <v>690</v>
      </c>
      <c r="D5" s="2" t="s">
        <v>24</v>
      </c>
      <c r="E5" s="2" t="s">
        <v>691</v>
      </c>
      <c r="F5" s="2" t="s">
        <v>26</v>
      </c>
      <c r="G5" s="2" t="s">
        <v>28</v>
      </c>
      <c r="H5" s="2" t="s">
        <v>27</v>
      </c>
      <c r="I5" s="2" t="s">
        <v>29</v>
      </c>
      <c r="J5" s="2" t="s">
        <v>30</v>
      </c>
      <c r="K5" s="2" t="s">
        <v>692</v>
      </c>
      <c r="L5" s="2">
        <v>0</v>
      </c>
      <c r="M5" s="2"/>
      <c r="N5" s="3"/>
      <c r="O5" s="2" t="s">
        <v>32</v>
      </c>
      <c r="P5" s="2"/>
      <c r="Q5" s="2"/>
      <c r="R5" s="2"/>
      <c r="S5" s="2"/>
      <c r="T5" s="2"/>
      <c r="U5" s="2"/>
      <c r="V5" s="2"/>
      <c r="W5" s="2" t="s">
        <v>31</v>
      </c>
      <c r="X5" s="2" t="s">
        <v>33</v>
      </c>
      <c r="Y5" s="2" t="s">
        <v>35</v>
      </c>
      <c r="Z5" s="2"/>
      <c r="AA5" s="2"/>
      <c r="AB5" s="2"/>
      <c r="AC5" s="2" t="s">
        <v>693</v>
      </c>
      <c r="AD5" s="6" t="b">
        <v>0</v>
      </c>
      <c r="AE5" s="6" t="b">
        <v>0</v>
      </c>
      <c r="AF5" s="2" t="s">
        <v>36</v>
      </c>
    </row>
    <row r="6" spans="1:32" ht="43.05" customHeight="1">
      <c r="A6" s="2" t="s">
        <v>688</v>
      </c>
      <c r="B6" s="2" t="s">
        <v>689</v>
      </c>
      <c r="C6" s="2" t="s">
        <v>690</v>
      </c>
      <c r="D6" s="2" t="s">
        <v>37</v>
      </c>
      <c r="E6" s="2" t="s">
        <v>691</v>
      </c>
      <c r="F6" s="2" t="s">
        <v>26</v>
      </c>
      <c r="G6" s="2" t="s">
        <v>28</v>
      </c>
      <c r="H6" s="2" t="s">
        <v>38</v>
      </c>
      <c r="I6" s="2" t="s">
        <v>39</v>
      </c>
      <c r="J6" s="2" t="s">
        <v>30</v>
      </c>
      <c r="K6" s="2" t="s">
        <v>692</v>
      </c>
      <c r="L6" s="2">
        <v>0</v>
      </c>
      <c r="M6" s="2"/>
      <c r="N6" s="3"/>
      <c r="O6" s="2" t="s">
        <v>40</v>
      </c>
      <c r="P6" s="2"/>
      <c r="Q6" s="2"/>
      <c r="R6" s="2"/>
      <c r="S6" s="2"/>
      <c r="T6" s="2"/>
      <c r="U6" s="2"/>
      <c r="V6" s="2"/>
      <c r="W6" s="2" t="s">
        <v>31</v>
      </c>
      <c r="X6" s="2"/>
      <c r="Y6" s="2" t="s">
        <v>35</v>
      </c>
      <c r="Z6" s="2"/>
      <c r="AA6" s="2"/>
      <c r="AB6" s="2"/>
      <c r="AC6" s="2" t="s">
        <v>693</v>
      </c>
      <c r="AD6" s="6" t="b">
        <v>0</v>
      </c>
      <c r="AE6" s="6" t="b">
        <v>0</v>
      </c>
      <c r="AF6" s="2" t="s">
        <v>41</v>
      </c>
    </row>
    <row r="7" spans="1:32" ht="43.05" customHeight="1">
      <c r="A7" s="2" t="s">
        <v>688</v>
      </c>
      <c r="B7" s="2" t="s">
        <v>689</v>
      </c>
      <c r="C7" s="2" t="s">
        <v>690</v>
      </c>
      <c r="D7" s="2" t="s">
        <v>42</v>
      </c>
      <c r="E7" s="2" t="s">
        <v>691</v>
      </c>
      <c r="F7" s="2" t="s">
        <v>43</v>
      </c>
      <c r="G7" s="2" t="s">
        <v>28</v>
      </c>
      <c r="H7" s="2" t="s">
        <v>44</v>
      </c>
      <c r="I7" s="2" t="s">
        <v>29</v>
      </c>
      <c r="J7" s="2" t="s">
        <v>30</v>
      </c>
      <c r="K7" s="2" t="s">
        <v>692</v>
      </c>
      <c r="L7" s="2">
        <v>0</v>
      </c>
      <c r="M7" s="2"/>
      <c r="N7" s="3"/>
      <c r="O7" s="2" t="s">
        <v>45</v>
      </c>
      <c r="P7" s="2"/>
      <c r="Q7" s="2"/>
      <c r="R7" s="2"/>
      <c r="S7" s="2"/>
      <c r="T7" s="2"/>
      <c r="U7" s="2"/>
      <c r="V7" s="2"/>
      <c r="W7" s="2" t="s">
        <v>31</v>
      </c>
      <c r="X7" s="2" t="s">
        <v>46</v>
      </c>
      <c r="Y7" s="2" t="s">
        <v>35</v>
      </c>
      <c r="Z7" s="2"/>
      <c r="AA7" s="2"/>
      <c r="AB7" s="2"/>
      <c r="AC7" s="2" t="s">
        <v>693</v>
      </c>
      <c r="AD7" s="6" t="b">
        <v>0</v>
      </c>
      <c r="AE7" s="6" t="b">
        <v>0</v>
      </c>
      <c r="AF7" s="2" t="s">
        <v>694</v>
      </c>
    </row>
    <row r="8" spans="1:32" ht="43.05" customHeight="1">
      <c r="A8" s="2" t="s">
        <v>688</v>
      </c>
      <c r="B8" s="2" t="s">
        <v>689</v>
      </c>
      <c r="C8" s="2" t="s">
        <v>690</v>
      </c>
      <c r="D8" s="2" t="s">
        <v>47</v>
      </c>
      <c r="E8" s="2" t="s">
        <v>691</v>
      </c>
      <c r="F8" s="2" t="s">
        <v>43</v>
      </c>
      <c r="G8" s="2" t="s">
        <v>28</v>
      </c>
      <c r="H8" s="2" t="s">
        <v>48</v>
      </c>
      <c r="I8" s="2" t="s">
        <v>29</v>
      </c>
      <c r="J8" s="2" t="s">
        <v>30</v>
      </c>
      <c r="K8" s="2" t="s">
        <v>692</v>
      </c>
      <c r="L8" s="2">
        <v>0</v>
      </c>
      <c r="M8" s="2"/>
      <c r="N8" s="3"/>
      <c r="O8" s="2" t="s">
        <v>45</v>
      </c>
      <c r="P8" s="2"/>
      <c r="Q8" s="2"/>
      <c r="R8" s="2"/>
      <c r="S8" s="2"/>
      <c r="T8" s="2"/>
      <c r="U8" s="2"/>
      <c r="V8" s="2"/>
      <c r="W8" s="2" t="s">
        <v>31</v>
      </c>
      <c r="X8" s="2" t="s">
        <v>46</v>
      </c>
      <c r="Y8" s="2" t="s">
        <v>35</v>
      </c>
      <c r="Z8" s="2"/>
      <c r="AA8" s="2"/>
      <c r="AB8" s="2"/>
      <c r="AC8" s="2" t="s">
        <v>693</v>
      </c>
      <c r="AD8" s="6" t="b">
        <v>0</v>
      </c>
      <c r="AE8" s="6" t="b">
        <v>0</v>
      </c>
      <c r="AF8" s="2" t="s">
        <v>694</v>
      </c>
    </row>
    <row r="9" spans="1:32" ht="43.05" customHeight="1">
      <c r="A9" s="2" t="s">
        <v>688</v>
      </c>
      <c r="B9" s="2" t="s">
        <v>689</v>
      </c>
      <c r="C9" s="2" t="s">
        <v>690</v>
      </c>
      <c r="D9" s="2" t="s">
        <v>49</v>
      </c>
      <c r="E9" s="2" t="s">
        <v>691</v>
      </c>
      <c r="F9" s="2" t="s">
        <v>50</v>
      </c>
      <c r="G9" s="2" t="s">
        <v>28</v>
      </c>
      <c r="H9" s="2" t="s">
        <v>51</v>
      </c>
      <c r="I9" s="2" t="s">
        <v>52</v>
      </c>
      <c r="J9" s="2" t="s">
        <v>30</v>
      </c>
      <c r="K9" s="2" t="s">
        <v>695</v>
      </c>
      <c r="L9" s="2"/>
      <c r="M9" s="2"/>
      <c r="N9" s="3"/>
      <c r="O9" s="2"/>
      <c r="P9" s="2"/>
      <c r="Q9" s="2"/>
      <c r="R9" s="2"/>
      <c r="S9" s="2"/>
      <c r="T9" s="2"/>
      <c r="U9" s="2"/>
      <c r="V9" s="2"/>
      <c r="W9" s="2" t="s">
        <v>53</v>
      </c>
      <c r="X9" s="2" t="s">
        <v>54</v>
      </c>
      <c r="Y9" s="2" t="s">
        <v>35</v>
      </c>
      <c r="Z9" s="2"/>
      <c r="AA9" s="2"/>
      <c r="AB9" s="2"/>
      <c r="AC9" s="2" t="s">
        <v>693</v>
      </c>
      <c r="AD9" s="6" t="b">
        <v>0</v>
      </c>
      <c r="AE9" s="6" t="b">
        <v>0</v>
      </c>
      <c r="AF9" s="2" t="s">
        <v>55</v>
      </c>
    </row>
    <row r="10" spans="1:32" ht="43.05" customHeight="1">
      <c r="A10" s="2" t="s">
        <v>688</v>
      </c>
      <c r="B10" s="2" t="s">
        <v>689</v>
      </c>
      <c r="C10" s="2" t="s">
        <v>690</v>
      </c>
      <c r="D10" s="2" t="s">
        <v>56</v>
      </c>
      <c r="E10" s="2" t="s">
        <v>691</v>
      </c>
      <c r="F10" s="2" t="s">
        <v>57</v>
      </c>
      <c r="G10" s="2" t="s">
        <v>28</v>
      </c>
      <c r="H10" s="2" t="s">
        <v>58</v>
      </c>
      <c r="I10" s="2" t="s">
        <v>59</v>
      </c>
      <c r="J10" s="2" t="s">
        <v>30</v>
      </c>
      <c r="K10" s="2" t="s">
        <v>692</v>
      </c>
      <c r="L10" s="2">
        <v>0</v>
      </c>
      <c r="M10" s="2"/>
      <c r="N10" s="3"/>
      <c r="O10" s="2" t="s">
        <v>45</v>
      </c>
      <c r="P10" s="2"/>
      <c r="Q10" s="2"/>
      <c r="R10" s="2"/>
      <c r="S10" s="2"/>
      <c r="T10" s="2"/>
      <c r="U10" s="2"/>
      <c r="V10" s="2"/>
      <c r="W10" s="2" t="s">
        <v>31</v>
      </c>
      <c r="X10" s="2" t="s">
        <v>60</v>
      </c>
      <c r="Y10" s="2" t="s">
        <v>35</v>
      </c>
      <c r="Z10" s="2"/>
      <c r="AA10" s="2"/>
      <c r="AB10" s="2"/>
      <c r="AC10" s="2" t="s">
        <v>693</v>
      </c>
      <c r="AD10" s="6" t="b">
        <v>0</v>
      </c>
      <c r="AE10" s="6" t="b">
        <v>0</v>
      </c>
      <c r="AF10" s="2" t="s">
        <v>61</v>
      </c>
    </row>
    <row r="11" spans="1:32" ht="43.05" customHeight="1">
      <c r="A11" s="2" t="s">
        <v>688</v>
      </c>
      <c r="B11" s="2" t="s">
        <v>689</v>
      </c>
      <c r="C11" s="2" t="s">
        <v>690</v>
      </c>
      <c r="D11" s="2" t="s">
        <v>62</v>
      </c>
      <c r="E11" s="2" t="s">
        <v>696</v>
      </c>
      <c r="F11" s="2" t="s">
        <v>64</v>
      </c>
      <c r="G11" s="2" t="s">
        <v>66</v>
      </c>
      <c r="H11" s="2" t="s">
        <v>65</v>
      </c>
      <c r="I11" s="2" t="s">
        <v>67</v>
      </c>
      <c r="J11" s="2" t="s">
        <v>30</v>
      </c>
      <c r="K11" s="2" t="s">
        <v>697</v>
      </c>
      <c r="L11" s="2">
        <v>200</v>
      </c>
      <c r="M11" s="2"/>
      <c r="N11" s="3"/>
      <c r="O11" s="2" t="s">
        <v>69</v>
      </c>
      <c r="P11" s="2"/>
      <c r="Q11" s="2"/>
      <c r="R11" s="2"/>
      <c r="S11" s="2"/>
      <c r="T11" s="2"/>
      <c r="U11" s="2"/>
      <c r="V11" s="2"/>
      <c r="W11" s="2" t="s">
        <v>68</v>
      </c>
      <c r="X11" s="2" t="s">
        <v>70</v>
      </c>
      <c r="Y11" s="2" t="s">
        <v>71</v>
      </c>
      <c r="Z11" s="2"/>
      <c r="AA11" s="2"/>
      <c r="AB11" s="2"/>
      <c r="AC11" s="2" t="s">
        <v>693</v>
      </c>
      <c r="AD11" s="6" t="b">
        <v>0</v>
      </c>
      <c r="AE11" s="6" t="b">
        <v>0</v>
      </c>
      <c r="AF11" s="2" t="s">
        <v>694</v>
      </c>
    </row>
    <row r="12" spans="1:32" ht="43.05" customHeight="1">
      <c r="A12" s="2" t="s">
        <v>688</v>
      </c>
      <c r="B12" s="2" t="s">
        <v>689</v>
      </c>
      <c r="C12" s="2" t="s">
        <v>690</v>
      </c>
      <c r="D12" s="2" t="s">
        <v>73</v>
      </c>
      <c r="E12" s="2" t="s">
        <v>696</v>
      </c>
      <c r="F12" s="2" t="s">
        <v>64</v>
      </c>
      <c r="G12" s="2" t="s">
        <v>66</v>
      </c>
      <c r="H12" s="2" t="s">
        <v>74</v>
      </c>
      <c r="I12" s="2" t="s">
        <v>75</v>
      </c>
      <c r="J12" s="2" t="s">
        <v>30</v>
      </c>
      <c r="K12" s="2" t="s">
        <v>697</v>
      </c>
      <c r="L12" s="2">
        <v>30</v>
      </c>
      <c r="M12" s="2"/>
      <c r="N12" s="3"/>
      <c r="O12" s="2" t="s">
        <v>45</v>
      </c>
      <c r="P12" s="2"/>
      <c r="Q12" s="2"/>
      <c r="R12" s="2"/>
      <c r="S12" s="2"/>
      <c r="T12" s="2"/>
      <c r="U12" s="2"/>
      <c r="V12" s="2"/>
      <c r="W12" s="2" t="s">
        <v>76</v>
      </c>
      <c r="X12" s="2"/>
      <c r="Y12" s="2" t="s">
        <v>71</v>
      </c>
      <c r="Z12" s="2"/>
      <c r="AA12" s="2"/>
      <c r="AB12" s="2"/>
      <c r="AC12" s="2" t="s">
        <v>693</v>
      </c>
      <c r="AD12" s="6" t="b">
        <v>0</v>
      </c>
      <c r="AE12" s="6" t="b">
        <v>0</v>
      </c>
      <c r="AF12" s="2" t="s">
        <v>694</v>
      </c>
    </row>
    <row r="13" spans="1:32" ht="43.05" customHeight="1">
      <c r="A13" s="2" t="s">
        <v>688</v>
      </c>
      <c r="B13" s="2" t="s">
        <v>689</v>
      </c>
      <c r="C13" s="2" t="s">
        <v>690</v>
      </c>
      <c r="D13" s="2" t="s">
        <v>77</v>
      </c>
      <c r="E13" s="2" t="s">
        <v>696</v>
      </c>
      <c r="F13" s="2" t="s">
        <v>78</v>
      </c>
      <c r="G13" s="2" t="s">
        <v>66</v>
      </c>
      <c r="H13" s="2" t="s">
        <v>79</v>
      </c>
      <c r="I13" s="2" t="s">
        <v>80</v>
      </c>
      <c r="J13" s="2" t="s">
        <v>30</v>
      </c>
      <c r="K13" s="2" t="s">
        <v>697</v>
      </c>
      <c r="L13" s="2">
        <v>350</v>
      </c>
      <c r="M13" s="2"/>
      <c r="N13" s="3"/>
      <c r="O13" s="2" t="s">
        <v>82</v>
      </c>
      <c r="P13" s="2"/>
      <c r="Q13" s="2"/>
      <c r="R13" s="2"/>
      <c r="S13" s="2"/>
      <c r="T13" s="2"/>
      <c r="U13" s="2"/>
      <c r="V13" s="2"/>
      <c r="W13" s="2" t="s">
        <v>81</v>
      </c>
      <c r="X13" s="2" t="s">
        <v>83</v>
      </c>
      <c r="Y13" s="2" t="s">
        <v>71</v>
      </c>
      <c r="Z13" s="2"/>
      <c r="AA13" s="2"/>
      <c r="AB13" s="2"/>
      <c r="AC13" s="2" t="s">
        <v>693</v>
      </c>
      <c r="AD13" s="6" t="b">
        <v>0</v>
      </c>
      <c r="AE13" s="6" t="b">
        <v>0</v>
      </c>
      <c r="AF13" s="2" t="s">
        <v>84</v>
      </c>
    </row>
    <row r="14" spans="1:32" ht="43.05" customHeight="1">
      <c r="A14" s="2" t="s">
        <v>688</v>
      </c>
      <c r="B14" s="2" t="s">
        <v>689</v>
      </c>
      <c r="C14" s="2" t="s">
        <v>690</v>
      </c>
      <c r="D14" s="2" t="s">
        <v>85</v>
      </c>
      <c r="E14" s="2" t="s">
        <v>691</v>
      </c>
      <c r="F14" s="2" t="s">
        <v>86</v>
      </c>
      <c r="G14" s="2" t="s">
        <v>28</v>
      </c>
      <c r="H14" s="2" t="s">
        <v>87</v>
      </c>
      <c r="I14" s="2" t="s">
        <v>29</v>
      </c>
      <c r="J14" s="2" t="s">
        <v>30</v>
      </c>
      <c r="K14" s="2" t="s">
        <v>695</v>
      </c>
      <c r="L14" s="2"/>
      <c r="M14" s="2"/>
      <c r="N14" s="3"/>
      <c r="O14" s="2"/>
      <c r="P14" s="2"/>
      <c r="Q14" s="2"/>
      <c r="R14" s="2"/>
      <c r="S14" s="2"/>
      <c r="T14" s="2"/>
      <c r="U14" s="2"/>
      <c r="V14" s="2"/>
      <c r="W14" s="2" t="s">
        <v>88</v>
      </c>
      <c r="X14" s="2"/>
      <c r="Y14" s="2" t="s">
        <v>35</v>
      </c>
      <c r="Z14" s="2"/>
      <c r="AA14" s="2"/>
      <c r="AB14" s="2"/>
      <c r="AC14" s="2" t="s">
        <v>693</v>
      </c>
      <c r="AD14" s="6" t="b">
        <v>0</v>
      </c>
      <c r="AE14" s="6" t="b">
        <v>0</v>
      </c>
      <c r="AF14" s="2" t="s">
        <v>89</v>
      </c>
    </row>
    <row r="15" spans="1:32" ht="43.05" customHeight="1">
      <c r="A15" s="2" t="s">
        <v>688</v>
      </c>
      <c r="B15" s="2" t="s">
        <v>689</v>
      </c>
      <c r="C15" s="2" t="s">
        <v>690</v>
      </c>
      <c r="D15" s="2" t="s">
        <v>90</v>
      </c>
      <c r="E15" s="2" t="s">
        <v>691</v>
      </c>
      <c r="F15" s="2" t="s">
        <v>86</v>
      </c>
      <c r="G15" s="2" t="s">
        <v>28</v>
      </c>
      <c r="H15" s="2" t="s">
        <v>91</v>
      </c>
      <c r="I15" s="2" t="s">
        <v>92</v>
      </c>
      <c r="J15" s="2" t="s">
        <v>30</v>
      </c>
      <c r="K15" s="2" t="s">
        <v>692</v>
      </c>
      <c r="L15" s="2">
        <v>0</v>
      </c>
      <c r="M15" s="2"/>
      <c r="N15" s="3"/>
      <c r="O15" s="2" t="s">
        <v>69</v>
      </c>
      <c r="P15" s="2"/>
      <c r="Q15" s="2"/>
      <c r="R15" s="2"/>
      <c r="S15" s="2"/>
      <c r="T15" s="2"/>
      <c r="U15" s="2"/>
      <c r="V15" s="2"/>
      <c r="W15" s="2" t="s">
        <v>31</v>
      </c>
      <c r="X15" s="2" t="s">
        <v>93</v>
      </c>
      <c r="Y15" s="2" t="s">
        <v>35</v>
      </c>
      <c r="Z15" s="2"/>
      <c r="AA15" s="2"/>
      <c r="AB15" s="2"/>
      <c r="AC15" s="2" t="s">
        <v>693</v>
      </c>
      <c r="AD15" s="6" t="b">
        <v>0</v>
      </c>
      <c r="AE15" s="6" t="b">
        <v>0</v>
      </c>
      <c r="AF15" s="2" t="s">
        <v>94</v>
      </c>
    </row>
    <row r="16" spans="1:32" ht="43.05" customHeight="1">
      <c r="A16" s="2" t="s">
        <v>688</v>
      </c>
      <c r="B16" s="2" t="s">
        <v>689</v>
      </c>
      <c r="C16" s="2" t="s">
        <v>690</v>
      </c>
      <c r="D16" s="2" t="s">
        <v>95</v>
      </c>
      <c r="E16" s="2" t="s">
        <v>691</v>
      </c>
      <c r="F16" s="2" t="s">
        <v>96</v>
      </c>
      <c r="G16" s="2" t="s">
        <v>28</v>
      </c>
      <c r="H16" s="2" t="s">
        <v>97</v>
      </c>
      <c r="I16" s="2" t="s">
        <v>29</v>
      </c>
      <c r="J16" s="2" t="s">
        <v>98</v>
      </c>
      <c r="K16" s="2" t="s">
        <v>698</v>
      </c>
      <c r="L16" s="2"/>
      <c r="M16" s="2"/>
      <c r="N16" s="3"/>
      <c r="O16" s="2"/>
      <c r="P16" s="2"/>
      <c r="Q16" s="2"/>
      <c r="R16" s="2"/>
      <c r="S16" s="2"/>
      <c r="T16" s="2"/>
      <c r="U16" s="2"/>
      <c r="V16" s="2"/>
      <c r="W16" s="2" t="s">
        <v>88</v>
      </c>
      <c r="X16" s="2" t="s">
        <v>99</v>
      </c>
      <c r="Y16" s="2" t="s">
        <v>35</v>
      </c>
      <c r="Z16" s="2"/>
      <c r="AA16" s="2"/>
      <c r="AB16" s="2"/>
      <c r="AC16" s="2" t="s">
        <v>693</v>
      </c>
      <c r="AD16" s="6" t="b">
        <v>0</v>
      </c>
      <c r="AE16" s="6" t="b">
        <v>0</v>
      </c>
      <c r="AF16" s="2" t="s">
        <v>100</v>
      </c>
    </row>
    <row r="17" spans="1:32" ht="43.05" customHeight="1">
      <c r="A17" s="2" t="s">
        <v>688</v>
      </c>
      <c r="B17" s="2" t="s">
        <v>689</v>
      </c>
      <c r="C17" s="2" t="s">
        <v>690</v>
      </c>
      <c r="D17" s="2" t="s">
        <v>101</v>
      </c>
      <c r="E17" s="2" t="s">
        <v>691</v>
      </c>
      <c r="F17" s="2" t="s">
        <v>102</v>
      </c>
      <c r="G17" s="2" t="s">
        <v>28</v>
      </c>
      <c r="H17" s="2" t="s">
        <v>103</v>
      </c>
      <c r="I17" s="2" t="s">
        <v>104</v>
      </c>
      <c r="J17" s="2" t="s">
        <v>30</v>
      </c>
      <c r="K17" s="2" t="s">
        <v>695</v>
      </c>
      <c r="L17" s="2"/>
      <c r="M17" s="2"/>
      <c r="N17" s="3"/>
      <c r="O17" s="2"/>
      <c r="P17" s="2"/>
      <c r="Q17" s="2"/>
      <c r="R17" s="2"/>
      <c r="S17" s="2"/>
      <c r="T17" s="2"/>
      <c r="U17" s="2"/>
      <c r="V17" s="2"/>
      <c r="W17" s="2" t="s">
        <v>88</v>
      </c>
      <c r="X17" s="2" t="s">
        <v>105</v>
      </c>
      <c r="Y17" s="2" t="s">
        <v>35</v>
      </c>
      <c r="Z17" s="2"/>
      <c r="AA17" s="2"/>
      <c r="AB17" s="2"/>
      <c r="AC17" s="2" t="s">
        <v>693</v>
      </c>
      <c r="AD17" s="6" t="b">
        <v>0</v>
      </c>
      <c r="AE17" s="6" t="b">
        <v>0</v>
      </c>
      <c r="AF17" s="2" t="s">
        <v>106</v>
      </c>
    </row>
    <row r="18" spans="1:32" ht="43.05" customHeight="1">
      <c r="A18" s="2" t="s">
        <v>688</v>
      </c>
      <c r="B18" s="2" t="s">
        <v>689</v>
      </c>
      <c r="C18" s="2" t="s">
        <v>690</v>
      </c>
      <c r="D18" s="2" t="s">
        <v>107</v>
      </c>
      <c r="E18" s="2" t="s">
        <v>691</v>
      </c>
      <c r="F18" s="2" t="s">
        <v>102</v>
      </c>
      <c r="G18" s="2" t="s">
        <v>28</v>
      </c>
      <c r="H18" s="2" t="s">
        <v>108</v>
      </c>
      <c r="I18" s="2" t="s">
        <v>104</v>
      </c>
      <c r="J18" s="2" t="s">
        <v>30</v>
      </c>
      <c r="K18" s="2" t="s">
        <v>695</v>
      </c>
      <c r="L18" s="2"/>
      <c r="M18" s="2"/>
      <c r="N18" s="3"/>
      <c r="O18" s="2"/>
      <c r="P18" s="2"/>
      <c r="Q18" s="2"/>
      <c r="R18" s="2"/>
      <c r="S18" s="2"/>
      <c r="T18" s="2"/>
      <c r="U18" s="2"/>
      <c r="V18" s="2"/>
      <c r="W18" s="2" t="s">
        <v>88</v>
      </c>
      <c r="X18" s="2" t="s">
        <v>109</v>
      </c>
      <c r="Y18" s="2" t="s">
        <v>35</v>
      </c>
      <c r="Z18" s="2"/>
      <c r="AA18" s="2"/>
      <c r="AB18" s="2"/>
      <c r="AC18" s="2" t="s">
        <v>693</v>
      </c>
      <c r="AD18" s="6" t="b">
        <v>0</v>
      </c>
      <c r="AE18" s="6" t="b">
        <v>0</v>
      </c>
      <c r="AF18" s="2" t="s">
        <v>110</v>
      </c>
    </row>
    <row r="19" spans="1:32" ht="43.05" customHeight="1">
      <c r="A19" s="2" t="s">
        <v>688</v>
      </c>
      <c r="B19" s="2" t="s">
        <v>689</v>
      </c>
      <c r="C19" s="2" t="s">
        <v>690</v>
      </c>
      <c r="D19" s="2" t="s">
        <v>111</v>
      </c>
      <c r="E19" s="2" t="s">
        <v>691</v>
      </c>
      <c r="F19" s="2" t="s">
        <v>50</v>
      </c>
      <c r="G19" s="2" t="s">
        <v>28</v>
      </c>
      <c r="H19" s="2" t="s">
        <v>112</v>
      </c>
      <c r="I19" s="2" t="s">
        <v>113</v>
      </c>
      <c r="J19" s="2" t="s">
        <v>30</v>
      </c>
      <c r="K19" s="2" t="s">
        <v>695</v>
      </c>
      <c r="L19" s="2"/>
      <c r="M19" s="2"/>
      <c r="N19" s="3"/>
      <c r="O19" s="2"/>
      <c r="P19" s="2"/>
      <c r="Q19" s="2"/>
      <c r="R19" s="2"/>
      <c r="S19" s="2"/>
      <c r="T19" s="2"/>
      <c r="U19" s="2"/>
      <c r="V19" s="2"/>
      <c r="W19" s="2" t="s">
        <v>88</v>
      </c>
      <c r="X19" s="2" t="s">
        <v>114</v>
      </c>
      <c r="Y19" s="2" t="s">
        <v>35</v>
      </c>
      <c r="Z19" s="2"/>
      <c r="AA19" s="2"/>
      <c r="AB19" s="2"/>
      <c r="AC19" s="2" t="s">
        <v>693</v>
      </c>
      <c r="AD19" s="6" t="b">
        <v>0</v>
      </c>
      <c r="AE19" s="6" t="b">
        <v>0</v>
      </c>
      <c r="AF19" s="2" t="s">
        <v>115</v>
      </c>
    </row>
    <row r="20" spans="1:32" ht="43.05" customHeight="1">
      <c r="A20" s="2" t="s">
        <v>688</v>
      </c>
      <c r="B20" s="2" t="s">
        <v>689</v>
      </c>
      <c r="C20" s="2" t="s">
        <v>690</v>
      </c>
      <c r="D20" s="2" t="s">
        <v>116</v>
      </c>
      <c r="E20" s="2" t="s">
        <v>691</v>
      </c>
      <c r="F20" s="2" t="s">
        <v>117</v>
      </c>
      <c r="G20" s="2" t="s">
        <v>28</v>
      </c>
      <c r="H20" s="2" t="s">
        <v>118</v>
      </c>
      <c r="I20" s="2" t="s">
        <v>104</v>
      </c>
      <c r="J20" s="2" t="s">
        <v>30</v>
      </c>
      <c r="K20" s="2" t="s">
        <v>695</v>
      </c>
      <c r="L20" s="2"/>
      <c r="M20" s="2"/>
      <c r="N20" s="3"/>
      <c r="O20" s="2"/>
      <c r="P20" s="2"/>
      <c r="Q20" s="2"/>
      <c r="R20" s="2"/>
      <c r="S20" s="2"/>
      <c r="T20" s="2"/>
      <c r="U20" s="2"/>
      <c r="V20" s="2"/>
      <c r="W20" s="2" t="s">
        <v>88</v>
      </c>
      <c r="X20" s="2" t="s">
        <v>119</v>
      </c>
      <c r="Y20" s="2" t="s">
        <v>35</v>
      </c>
      <c r="Z20" s="2"/>
      <c r="AA20" s="2"/>
      <c r="AB20" s="2"/>
      <c r="AC20" s="2" t="s">
        <v>693</v>
      </c>
      <c r="AD20" s="6" t="b">
        <v>0</v>
      </c>
      <c r="AE20" s="6" t="b">
        <v>0</v>
      </c>
      <c r="AF20" s="2" t="s">
        <v>120</v>
      </c>
    </row>
    <row r="21" spans="1:32" ht="43.05" customHeight="1">
      <c r="A21" s="2" t="s">
        <v>688</v>
      </c>
      <c r="B21" s="2" t="s">
        <v>689</v>
      </c>
      <c r="C21" s="2" t="s">
        <v>690</v>
      </c>
      <c r="D21" s="2" t="s">
        <v>121</v>
      </c>
      <c r="E21" s="2" t="s">
        <v>699</v>
      </c>
      <c r="F21" s="2" t="s">
        <v>123</v>
      </c>
      <c r="G21" s="2" t="s">
        <v>125</v>
      </c>
      <c r="H21" s="2" t="s">
        <v>124</v>
      </c>
      <c r="I21" s="2" t="s">
        <v>29</v>
      </c>
      <c r="J21" s="2" t="s">
        <v>30</v>
      </c>
      <c r="K21" s="2" t="s">
        <v>695</v>
      </c>
      <c r="L21" s="2"/>
      <c r="M21" s="2"/>
      <c r="N21" s="3"/>
      <c r="O21" s="2"/>
      <c r="P21" s="2"/>
      <c r="Q21" s="2"/>
      <c r="R21" s="2"/>
      <c r="S21" s="2"/>
      <c r="T21" s="2"/>
      <c r="U21" s="2"/>
      <c r="V21" s="2"/>
      <c r="W21" s="2" t="s">
        <v>88</v>
      </c>
      <c r="X21" s="2" t="s">
        <v>126</v>
      </c>
      <c r="Y21" s="2" t="s">
        <v>35</v>
      </c>
      <c r="Z21" s="2"/>
      <c r="AA21" s="2"/>
      <c r="AB21" s="2"/>
      <c r="AC21" s="2" t="s">
        <v>693</v>
      </c>
      <c r="AD21" s="6" t="b">
        <v>0</v>
      </c>
      <c r="AE21" s="6" t="b">
        <v>0</v>
      </c>
      <c r="AF21" s="2" t="s">
        <v>127</v>
      </c>
    </row>
    <row r="22" spans="1:32" ht="43.05" customHeight="1">
      <c r="A22" s="2" t="s">
        <v>688</v>
      </c>
      <c r="B22" s="2" t="s">
        <v>689</v>
      </c>
      <c r="C22" s="2" t="s">
        <v>690</v>
      </c>
      <c r="D22" s="2" t="s">
        <v>128</v>
      </c>
      <c r="E22" s="2" t="s">
        <v>691</v>
      </c>
      <c r="F22" s="2" t="s">
        <v>129</v>
      </c>
      <c r="G22" s="2" t="s">
        <v>125</v>
      </c>
      <c r="H22" s="2" t="s">
        <v>130</v>
      </c>
      <c r="I22" s="2" t="s">
        <v>29</v>
      </c>
      <c r="J22" s="2" t="s">
        <v>30</v>
      </c>
      <c r="K22" s="2" t="s">
        <v>692</v>
      </c>
      <c r="L22" s="2">
        <v>0</v>
      </c>
      <c r="M22" s="2"/>
      <c r="N22" s="3"/>
      <c r="O22" s="2" t="s">
        <v>131</v>
      </c>
      <c r="P22" s="2"/>
      <c r="Q22" s="2"/>
      <c r="R22" s="2"/>
      <c r="S22" s="2"/>
      <c r="T22" s="2"/>
      <c r="U22" s="2"/>
      <c r="V22" s="2"/>
      <c r="W22" s="2" t="s">
        <v>31</v>
      </c>
      <c r="X22" s="2" t="s">
        <v>132</v>
      </c>
      <c r="Y22" s="2" t="s">
        <v>35</v>
      </c>
      <c r="Z22" s="2"/>
      <c r="AA22" s="2"/>
      <c r="AB22" s="2"/>
      <c r="AC22" s="2" t="s">
        <v>693</v>
      </c>
      <c r="AD22" s="6" t="b">
        <v>0</v>
      </c>
      <c r="AE22" s="6" t="b">
        <v>0</v>
      </c>
      <c r="AF22" s="2" t="s">
        <v>133</v>
      </c>
    </row>
    <row r="23" spans="1:32" ht="43.05" customHeight="1">
      <c r="A23" s="2" t="s">
        <v>688</v>
      </c>
      <c r="B23" s="2" t="s">
        <v>689</v>
      </c>
      <c r="C23" s="2" t="s">
        <v>690</v>
      </c>
      <c r="D23" s="2" t="s">
        <v>134</v>
      </c>
      <c r="E23" s="2" t="s">
        <v>691</v>
      </c>
      <c r="F23" s="2" t="s">
        <v>135</v>
      </c>
      <c r="G23" s="2" t="s">
        <v>125</v>
      </c>
      <c r="H23" s="2" t="s">
        <v>136</v>
      </c>
      <c r="I23" s="2" t="s">
        <v>137</v>
      </c>
      <c r="J23" s="2" t="s">
        <v>30</v>
      </c>
      <c r="K23" s="2" t="s">
        <v>695</v>
      </c>
      <c r="L23" s="2"/>
      <c r="M23" s="2"/>
      <c r="N23" s="3"/>
      <c r="O23" s="2"/>
      <c r="P23" s="2"/>
      <c r="Q23" s="2"/>
      <c r="R23" s="2"/>
      <c r="S23" s="2"/>
      <c r="T23" s="2"/>
      <c r="U23" s="2"/>
      <c r="V23" s="2"/>
      <c r="W23" s="2" t="s">
        <v>88</v>
      </c>
      <c r="X23" s="2" t="s">
        <v>138</v>
      </c>
      <c r="Y23" s="2" t="s">
        <v>35</v>
      </c>
      <c r="Z23" s="2"/>
      <c r="AA23" s="2"/>
      <c r="AB23" s="2"/>
      <c r="AC23" s="2" t="s">
        <v>693</v>
      </c>
      <c r="AD23" s="6" t="b">
        <v>0</v>
      </c>
      <c r="AE23" s="6" t="b">
        <v>0</v>
      </c>
      <c r="AF23" s="2" t="s">
        <v>139</v>
      </c>
    </row>
    <row r="24" spans="1:32" ht="43.05" customHeight="1">
      <c r="A24" s="2" t="s">
        <v>688</v>
      </c>
      <c r="B24" s="2" t="s">
        <v>689</v>
      </c>
      <c r="C24" s="2" t="s">
        <v>690</v>
      </c>
      <c r="D24" s="2" t="s">
        <v>140</v>
      </c>
      <c r="E24" s="2" t="s">
        <v>691</v>
      </c>
      <c r="F24" s="2" t="s">
        <v>26</v>
      </c>
      <c r="G24" s="2" t="s">
        <v>28</v>
      </c>
      <c r="H24" s="2" t="s">
        <v>141</v>
      </c>
      <c r="I24" s="2" t="s">
        <v>142</v>
      </c>
      <c r="J24" s="2" t="s">
        <v>30</v>
      </c>
      <c r="K24" s="2" t="s">
        <v>692</v>
      </c>
      <c r="L24" s="2">
        <v>0</v>
      </c>
      <c r="M24" s="2"/>
      <c r="N24" s="3"/>
      <c r="O24" s="2" t="s">
        <v>143</v>
      </c>
      <c r="P24" s="2"/>
      <c r="Q24" s="2"/>
      <c r="R24" s="2"/>
      <c r="S24" s="2"/>
      <c r="T24" s="2"/>
      <c r="U24" s="2"/>
      <c r="V24" s="2"/>
      <c r="W24" s="2" t="s">
        <v>31</v>
      </c>
      <c r="X24" s="2" t="s">
        <v>144</v>
      </c>
      <c r="Y24" s="2" t="s">
        <v>35</v>
      </c>
      <c r="Z24" s="2"/>
      <c r="AA24" s="2"/>
      <c r="AB24" s="2"/>
      <c r="AC24" s="2" t="s">
        <v>693</v>
      </c>
      <c r="AD24" s="6" t="b">
        <v>0</v>
      </c>
      <c r="AE24" s="6" t="b">
        <v>0</v>
      </c>
      <c r="AF24" s="2" t="s">
        <v>694</v>
      </c>
    </row>
    <row r="25" spans="1:32" ht="43.05" customHeight="1">
      <c r="A25" s="2" t="s">
        <v>688</v>
      </c>
      <c r="B25" s="2" t="s">
        <v>689</v>
      </c>
      <c r="C25" s="2" t="s">
        <v>690</v>
      </c>
      <c r="D25" s="2" t="s">
        <v>145</v>
      </c>
      <c r="E25" s="2" t="s">
        <v>691</v>
      </c>
      <c r="F25" s="2" t="s">
        <v>86</v>
      </c>
      <c r="G25" s="2" t="s">
        <v>28</v>
      </c>
      <c r="H25" s="2" t="s">
        <v>146</v>
      </c>
      <c r="I25" s="2" t="s">
        <v>29</v>
      </c>
      <c r="J25" s="2" t="s">
        <v>30</v>
      </c>
      <c r="K25" s="2" t="s">
        <v>695</v>
      </c>
      <c r="L25" s="2"/>
      <c r="M25" s="2"/>
      <c r="N25" s="3"/>
      <c r="O25" s="2"/>
      <c r="P25" s="2"/>
      <c r="Q25" s="2"/>
      <c r="R25" s="2"/>
      <c r="S25" s="2"/>
      <c r="T25" s="2"/>
      <c r="U25" s="2"/>
      <c r="V25" s="2"/>
      <c r="W25" s="2" t="s">
        <v>53</v>
      </c>
      <c r="X25" s="2" t="s">
        <v>147</v>
      </c>
      <c r="Y25" s="2" t="s">
        <v>35</v>
      </c>
      <c r="Z25" s="2"/>
      <c r="AA25" s="2"/>
      <c r="AB25" s="2"/>
      <c r="AC25" s="2" t="s">
        <v>693</v>
      </c>
      <c r="AD25" s="6" t="b">
        <v>0</v>
      </c>
      <c r="AE25" s="6" t="b">
        <v>0</v>
      </c>
      <c r="AF25" s="2" t="s">
        <v>148</v>
      </c>
    </row>
    <row r="26" spans="1:32" ht="43.05" customHeight="1">
      <c r="A26" s="2" t="s">
        <v>688</v>
      </c>
      <c r="B26" s="2" t="s">
        <v>689</v>
      </c>
      <c r="C26" s="2" t="s">
        <v>690</v>
      </c>
      <c r="D26" s="2" t="s">
        <v>149</v>
      </c>
      <c r="E26" s="2" t="s">
        <v>700</v>
      </c>
      <c r="F26" s="2" t="s">
        <v>151</v>
      </c>
      <c r="G26" s="2" t="s">
        <v>28</v>
      </c>
      <c r="H26" s="2" t="s">
        <v>152</v>
      </c>
      <c r="I26" s="2" t="s">
        <v>153</v>
      </c>
      <c r="J26" s="2" t="s">
        <v>30</v>
      </c>
      <c r="K26" s="2" t="s">
        <v>695</v>
      </c>
      <c r="L26" s="2"/>
      <c r="M26" s="2"/>
      <c r="N26" s="3"/>
      <c r="O26" s="2"/>
      <c r="P26" s="2"/>
      <c r="Q26" s="2"/>
      <c r="R26" s="2"/>
      <c r="S26" s="2"/>
      <c r="T26" s="2"/>
      <c r="U26" s="2"/>
      <c r="V26" s="2"/>
      <c r="W26" s="2" t="s">
        <v>88</v>
      </c>
      <c r="X26" s="2" t="s">
        <v>154</v>
      </c>
      <c r="Y26" s="2" t="s">
        <v>35</v>
      </c>
      <c r="Z26" s="2"/>
      <c r="AA26" s="2"/>
      <c r="AB26" s="2"/>
      <c r="AC26" s="2" t="s">
        <v>693</v>
      </c>
      <c r="AD26" s="6" t="b">
        <v>0</v>
      </c>
      <c r="AE26" s="6" t="b">
        <v>0</v>
      </c>
      <c r="AF26" s="2" t="s">
        <v>155</v>
      </c>
    </row>
    <row r="27" spans="1:32" ht="43.05" customHeight="1">
      <c r="A27" s="2" t="s">
        <v>688</v>
      </c>
      <c r="B27" s="2" t="s">
        <v>689</v>
      </c>
      <c r="C27" s="2" t="s">
        <v>690</v>
      </c>
      <c r="D27" s="2" t="s">
        <v>156</v>
      </c>
      <c r="E27" s="2" t="s">
        <v>691</v>
      </c>
      <c r="F27" s="2" t="s">
        <v>157</v>
      </c>
      <c r="G27" s="2" t="s">
        <v>28</v>
      </c>
      <c r="H27" s="2" t="s">
        <v>158</v>
      </c>
      <c r="I27" s="2" t="s">
        <v>104</v>
      </c>
      <c r="J27" s="2" t="s">
        <v>98</v>
      </c>
      <c r="K27" s="2" t="s">
        <v>698</v>
      </c>
      <c r="L27" s="2"/>
      <c r="M27" s="2"/>
      <c r="N27" s="3"/>
      <c r="O27" s="2"/>
      <c r="P27" s="2"/>
      <c r="Q27" s="2"/>
      <c r="R27" s="2"/>
      <c r="S27" s="2"/>
      <c r="T27" s="2"/>
      <c r="U27" s="2"/>
      <c r="V27" s="2"/>
      <c r="W27" s="2" t="s">
        <v>88</v>
      </c>
      <c r="X27" s="2" t="s">
        <v>159</v>
      </c>
      <c r="Y27" s="2" t="s">
        <v>35</v>
      </c>
      <c r="Z27" s="2"/>
      <c r="AA27" s="2"/>
      <c r="AB27" s="2"/>
      <c r="AC27" s="2" t="s">
        <v>693</v>
      </c>
      <c r="AD27" s="6" t="b">
        <v>0</v>
      </c>
      <c r="AE27" s="6" t="b">
        <v>0</v>
      </c>
      <c r="AF27" s="2" t="s">
        <v>160</v>
      </c>
    </row>
    <row r="28" spans="1:32" ht="43.05" customHeight="1">
      <c r="A28" s="2" t="s">
        <v>688</v>
      </c>
      <c r="B28" s="2" t="s">
        <v>689</v>
      </c>
      <c r="C28" s="2" t="s">
        <v>690</v>
      </c>
      <c r="D28" s="2" t="s">
        <v>161</v>
      </c>
      <c r="E28" s="2" t="s">
        <v>696</v>
      </c>
      <c r="F28" s="2" t="s">
        <v>162</v>
      </c>
      <c r="G28" s="2" t="s">
        <v>66</v>
      </c>
      <c r="H28" s="2" t="s">
        <v>163</v>
      </c>
      <c r="I28" s="2" t="s">
        <v>164</v>
      </c>
      <c r="J28" s="2" t="s">
        <v>30</v>
      </c>
      <c r="K28" s="2" t="s">
        <v>697</v>
      </c>
      <c r="L28" s="2">
        <v>30</v>
      </c>
      <c r="M28" s="2"/>
      <c r="N28" s="3"/>
      <c r="O28" s="2" t="s">
        <v>165</v>
      </c>
      <c r="P28" s="2"/>
      <c r="Q28" s="2"/>
      <c r="R28" s="2"/>
      <c r="S28" s="2"/>
      <c r="T28" s="2"/>
      <c r="U28" s="2"/>
      <c r="V28" s="2"/>
      <c r="W28" s="2" t="s">
        <v>76</v>
      </c>
      <c r="X28" s="2"/>
      <c r="Y28" s="2" t="s">
        <v>166</v>
      </c>
      <c r="Z28" s="2"/>
      <c r="AA28" s="2"/>
      <c r="AB28" s="2"/>
      <c r="AC28" s="2" t="s">
        <v>693</v>
      </c>
      <c r="AD28" s="6" t="b">
        <v>0</v>
      </c>
      <c r="AE28" s="6" t="b">
        <v>0</v>
      </c>
      <c r="AF28" s="2" t="s">
        <v>694</v>
      </c>
    </row>
    <row r="29" spans="1:32" ht="43.05" customHeight="1">
      <c r="A29" s="2" t="s">
        <v>688</v>
      </c>
      <c r="B29" s="2" t="s">
        <v>689</v>
      </c>
      <c r="C29" s="2" t="s">
        <v>690</v>
      </c>
      <c r="D29" s="2" t="s">
        <v>167</v>
      </c>
      <c r="E29" s="2" t="s">
        <v>696</v>
      </c>
      <c r="F29" s="2" t="s">
        <v>162</v>
      </c>
      <c r="G29" s="2" t="s">
        <v>66</v>
      </c>
      <c r="H29" s="2" t="s">
        <v>168</v>
      </c>
      <c r="I29" s="2" t="s">
        <v>169</v>
      </c>
      <c r="J29" s="2" t="s">
        <v>30</v>
      </c>
      <c r="K29" s="2" t="s">
        <v>697</v>
      </c>
      <c r="L29" s="2">
        <v>35</v>
      </c>
      <c r="M29" s="2"/>
      <c r="N29" s="3"/>
      <c r="O29" s="2" t="s">
        <v>165</v>
      </c>
      <c r="P29" s="2"/>
      <c r="Q29" s="2"/>
      <c r="R29" s="2"/>
      <c r="S29" s="2"/>
      <c r="T29" s="2"/>
      <c r="U29" s="2"/>
      <c r="V29" s="2"/>
      <c r="W29" s="2" t="s">
        <v>170</v>
      </c>
      <c r="X29" s="2"/>
      <c r="Y29" s="2" t="s">
        <v>166</v>
      </c>
      <c r="Z29" s="2"/>
      <c r="AA29" s="2"/>
      <c r="AB29" s="2"/>
      <c r="AC29" s="2" t="s">
        <v>693</v>
      </c>
      <c r="AD29" s="6" t="b">
        <v>0</v>
      </c>
      <c r="AE29" s="6" t="b">
        <v>0</v>
      </c>
      <c r="AF29" s="2" t="s">
        <v>694</v>
      </c>
    </row>
    <row r="30" spans="1:32" ht="43.05" customHeight="1">
      <c r="A30" s="2" t="s">
        <v>688</v>
      </c>
      <c r="B30" s="2" t="s">
        <v>689</v>
      </c>
      <c r="C30" s="2" t="s">
        <v>690</v>
      </c>
      <c r="D30" s="2" t="s">
        <v>171</v>
      </c>
      <c r="E30" s="2" t="s">
        <v>696</v>
      </c>
      <c r="F30" s="2" t="s">
        <v>172</v>
      </c>
      <c r="G30" s="2" t="s">
        <v>66</v>
      </c>
      <c r="H30" s="2" t="s">
        <v>173</v>
      </c>
      <c r="I30" s="2" t="s">
        <v>174</v>
      </c>
      <c r="J30" s="2" t="s">
        <v>30</v>
      </c>
      <c r="K30" s="2" t="s">
        <v>701</v>
      </c>
      <c r="L30" s="2">
        <v>18</v>
      </c>
      <c r="M30" s="2"/>
      <c r="N30" s="3"/>
      <c r="O30" s="2" t="s">
        <v>165</v>
      </c>
      <c r="P30" s="2"/>
      <c r="Q30" s="2"/>
      <c r="R30" s="2"/>
      <c r="S30" s="2"/>
      <c r="T30" s="2"/>
      <c r="U30" s="2" t="s">
        <v>486</v>
      </c>
      <c r="V30" s="2"/>
      <c r="W30" s="2" t="s">
        <v>175</v>
      </c>
      <c r="X30" s="2" t="s">
        <v>176</v>
      </c>
      <c r="Y30" s="2" t="s">
        <v>166</v>
      </c>
      <c r="Z30" s="2"/>
      <c r="AA30" s="2"/>
      <c r="AB30" s="2"/>
      <c r="AC30" s="2" t="s">
        <v>693</v>
      </c>
      <c r="AD30" s="6" t="b">
        <v>0</v>
      </c>
      <c r="AE30" s="6" t="b">
        <v>0</v>
      </c>
      <c r="AF30" s="2" t="s">
        <v>177</v>
      </c>
    </row>
    <row r="31" spans="1:32" ht="43.05" customHeight="1">
      <c r="A31" s="2" t="s">
        <v>688</v>
      </c>
      <c r="B31" s="2" t="s">
        <v>689</v>
      </c>
      <c r="C31" s="2" t="s">
        <v>690</v>
      </c>
      <c r="D31" s="2" t="s">
        <v>178</v>
      </c>
      <c r="E31" s="2" t="s">
        <v>696</v>
      </c>
      <c r="F31" s="2" t="s">
        <v>179</v>
      </c>
      <c r="G31" s="2" t="s">
        <v>66</v>
      </c>
      <c r="H31" s="2" t="s">
        <v>180</v>
      </c>
      <c r="I31" s="2" t="s">
        <v>181</v>
      </c>
      <c r="J31" s="2" t="s">
        <v>30</v>
      </c>
      <c r="K31" s="2" t="s">
        <v>692</v>
      </c>
      <c r="L31" s="2">
        <v>0</v>
      </c>
      <c r="M31" s="2"/>
      <c r="N31" s="3"/>
      <c r="O31" s="2" t="s">
        <v>131</v>
      </c>
      <c r="P31" s="2"/>
      <c r="Q31" s="2"/>
      <c r="R31" s="2"/>
      <c r="S31" s="2"/>
      <c r="T31" s="2"/>
      <c r="U31" s="2"/>
      <c r="V31" s="2"/>
      <c r="W31" s="2" t="s">
        <v>182</v>
      </c>
      <c r="X31" s="2" t="s">
        <v>183</v>
      </c>
      <c r="Y31" s="2" t="s">
        <v>166</v>
      </c>
      <c r="Z31" s="2"/>
      <c r="AA31" s="2"/>
      <c r="AB31" s="2"/>
      <c r="AC31" s="2" t="s">
        <v>693</v>
      </c>
      <c r="AD31" s="6" t="b">
        <v>0</v>
      </c>
      <c r="AE31" s="6" t="b">
        <v>0</v>
      </c>
      <c r="AF31" s="2" t="s">
        <v>185</v>
      </c>
    </row>
    <row r="32" spans="1:32" ht="43.05" customHeight="1">
      <c r="A32" s="2" t="s">
        <v>688</v>
      </c>
      <c r="B32" s="2" t="s">
        <v>689</v>
      </c>
      <c r="C32" s="2" t="s">
        <v>690</v>
      </c>
      <c r="D32" s="2" t="s">
        <v>186</v>
      </c>
      <c r="E32" s="2" t="s">
        <v>696</v>
      </c>
      <c r="F32" s="2" t="s">
        <v>179</v>
      </c>
      <c r="G32" s="2" t="s">
        <v>66</v>
      </c>
      <c r="H32" s="2" t="s">
        <v>187</v>
      </c>
      <c r="I32" s="2" t="s">
        <v>188</v>
      </c>
      <c r="J32" s="2" t="s">
        <v>30</v>
      </c>
      <c r="K32" s="2" t="s">
        <v>692</v>
      </c>
      <c r="L32" s="2">
        <v>0</v>
      </c>
      <c r="M32" s="2"/>
      <c r="N32" s="3"/>
      <c r="O32" s="2" t="s">
        <v>131</v>
      </c>
      <c r="P32" s="2"/>
      <c r="Q32" s="2"/>
      <c r="R32" s="2"/>
      <c r="S32" s="2"/>
      <c r="T32" s="2"/>
      <c r="U32" s="2"/>
      <c r="V32" s="2"/>
      <c r="W32" s="2" t="s">
        <v>182</v>
      </c>
      <c r="X32" s="2" t="s">
        <v>189</v>
      </c>
      <c r="Y32" s="2" t="s">
        <v>166</v>
      </c>
      <c r="Z32" s="2"/>
      <c r="AA32" s="2"/>
      <c r="AB32" s="2"/>
      <c r="AC32" s="2" t="s">
        <v>693</v>
      </c>
      <c r="AD32" s="6" t="b">
        <v>0</v>
      </c>
      <c r="AE32" s="6" t="b">
        <v>0</v>
      </c>
      <c r="AF32" s="2" t="s">
        <v>694</v>
      </c>
    </row>
    <row r="33" spans="1:32" ht="43.05" customHeight="1">
      <c r="A33" s="2" t="s">
        <v>688</v>
      </c>
      <c r="B33" s="2" t="s">
        <v>689</v>
      </c>
      <c r="C33" s="2" t="s">
        <v>690</v>
      </c>
      <c r="D33" s="2" t="s">
        <v>190</v>
      </c>
      <c r="E33" s="2" t="s">
        <v>696</v>
      </c>
      <c r="F33" s="2" t="s">
        <v>191</v>
      </c>
      <c r="G33" s="2" t="s">
        <v>66</v>
      </c>
      <c r="H33" s="2" t="s">
        <v>192</v>
      </c>
      <c r="I33" s="2" t="s">
        <v>193</v>
      </c>
      <c r="J33" s="2" t="s">
        <v>194</v>
      </c>
      <c r="K33" s="2" t="s">
        <v>698</v>
      </c>
      <c r="L33" s="2"/>
      <c r="M33" s="2"/>
      <c r="N33" s="3"/>
      <c r="O33" s="2" t="s">
        <v>196</v>
      </c>
      <c r="P33" s="2"/>
      <c r="Q33" s="2">
        <v>50000</v>
      </c>
      <c r="R33" s="2" t="s">
        <v>197</v>
      </c>
      <c r="S33" s="2"/>
      <c r="T33" s="2"/>
      <c r="U33" s="2"/>
      <c r="V33" s="2"/>
      <c r="W33" s="2" t="s">
        <v>195</v>
      </c>
      <c r="X33" s="2"/>
      <c r="Y33" s="2" t="s">
        <v>166</v>
      </c>
      <c r="Z33" s="2"/>
      <c r="AA33" s="2"/>
      <c r="AB33" s="2"/>
      <c r="AC33" s="2" t="s">
        <v>693</v>
      </c>
      <c r="AD33" s="6" t="b">
        <v>0</v>
      </c>
      <c r="AE33" s="6" t="b">
        <v>0</v>
      </c>
      <c r="AF33" s="2" t="s">
        <v>694</v>
      </c>
    </row>
    <row r="34" spans="1:32" ht="43.05" customHeight="1">
      <c r="A34" s="2" t="s">
        <v>688</v>
      </c>
      <c r="B34" s="2" t="s">
        <v>689</v>
      </c>
      <c r="C34" s="2" t="s">
        <v>690</v>
      </c>
      <c r="D34" s="2" t="s">
        <v>198</v>
      </c>
      <c r="E34" s="2" t="s">
        <v>696</v>
      </c>
      <c r="F34" s="2" t="s">
        <v>191</v>
      </c>
      <c r="G34" s="2" t="s">
        <v>66</v>
      </c>
      <c r="H34" s="2" t="s">
        <v>199</v>
      </c>
      <c r="I34" s="2" t="s">
        <v>181</v>
      </c>
      <c r="J34" s="2" t="s">
        <v>194</v>
      </c>
      <c r="K34" s="2" t="s">
        <v>698</v>
      </c>
      <c r="L34" s="2"/>
      <c r="M34" s="2"/>
      <c r="N34" s="3"/>
      <c r="O34" s="2" t="s">
        <v>196</v>
      </c>
      <c r="P34" s="2"/>
      <c r="Q34" s="2">
        <v>200000</v>
      </c>
      <c r="R34" s="2" t="s">
        <v>197</v>
      </c>
      <c r="S34" s="2"/>
      <c r="T34" s="2"/>
      <c r="U34" s="2"/>
      <c r="V34" s="2"/>
      <c r="W34" s="2" t="s">
        <v>200</v>
      </c>
      <c r="X34" s="2"/>
      <c r="Y34" s="2" t="s">
        <v>166</v>
      </c>
      <c r="Z34" s="2"/>
      <c r="AA34" s="2"/>
      <c r="AB34" s="2"/>
      <c r="AC34" s="2" t="s">
        <v>693</v>
      </c>
      <c r="AD34" s="6" t="b">
        <v>0</v>
      </c>
      <c r="AE34" s="6" t="b">
        <v>0</v>
      </c>
      <c r="AF34" s="2" t="s">
        <v>694</v>
      </c>
    </row>
    <row r="35" spans="1:32" ht="43.05" customHeight="1">
      <c r="A35" s="2" t="s">
        <v>688</v>
      </c>
      <c r="B35" s="2" t="s">
        <v>689</v>
      </c>
      <c r="C35" s="2" t="s">
        <v>690</v>
      </c>
      <c r="D35" s="2" t="s">
        <v>201</v>
      </c>
      <c r="E35" s="2" t="s">
        <v>696</v>
      </c>
      <c r="F35" s="2" t="s">
        <v>202</v>
      </c>
      <c r="G35" s="2" t="s">
        <v>66</v>
      </c>
      <c r="H35" s="2" t="s">
        <v>203</v>
      </c>
      <c r="I35" s="2" t="s">
        <v>193</v>
      </c>
      <c r="J35" s="2" t="s">
        <v>194</v>
      </c>
      <c r="K35" s="2" t="s">
        <v>698</v>
      </c>
      <c r="L35" s="2"/>
      <c r="M35" s="2"/>
      <c r="N35" s="3"/>
      <c r="O35" s="2" t="s">
        <v>196</v>
      </c>
      <c r="P35" s="2">
        <v>1000</v>
      </c>
      <c r="Q35" s="2">
        <v>50000</v>
      </c>
      <c r="R35" s="2" t="s">
        <v>197</v>
      </c>
      <c r="S35" s="2"/>
      <c r="T35" s="2"/>
      <c r="U35" s="2"/>
      <c r="V35" s="2"/>
      <c r="W35" s="2" t="s">
        <v>204</v>
      </c>
      <c r="X35" s="2" t="s">
        <v>205</v>
      </c>
      <c r="Y35" s="2" t="s">
        <v>166</v>
      </c>
      <c r="Z35" s="2"/>
      <c r="AA35" s="2"/>
      <c r="AB35" s="2"/>
      <c r="AC35" s="2" t="s">
        <v>693</v>
      </c>
      <c r="AD35" s="6" t="b">
        <v>0</v>
      </c>
      <c r="AE35" s="6" t="b">
        <v>0</v>
      </c>
      <c r="AF35" s="2" t="s">
        <v>206</v>
      </c>
    </row>
    <row r="36" spans="1:32" ht="43.05" customHeight="1">
      <c r="A36" s="2" t="s">
        <v>688</v>
      </c>
      <c r="B36" s="2" t="s">
        <v>689</v>
      </c>
      <c r="C36" s="2" t="s">
        <v>690</v>
      </c>
      <c r="D36" s="2" t="s">
        <v>207</v>
      </c>
      <c r="E36" s="2" t="s">
        <v>700</v>
      </c>
      <c r="F36" s="2" t="s">
        <v>208</v>
      </c>
      <c r="G36" s="2" t="s">
        <v>28</v>
      </c>
      <c r="H36" s="2" t="s">
        <v>209</v>
      </c>
      <c r="I36" s="2" t="s">
        <v>210</v>
      </c>
      <c r="J36" s="2" t="s">
        <v>194</v>
      </c>
      <c r="K36" s="2" t="s">
        <v>698</v>
      </c>
      <c r="L36" s="2"/>
      <c r="M36" s="2"/>
      <c r="N36" s="3"/>
      <c r="O36" s="2" t="s">
        <v>196</v>
      </c>
      <c r="P36" s="2">
        <v>1000</v>
      </c>
      <c r="Q36" s="2">
        <v>200000</v>
      </c>
      <c r="R36" s="2" t="s">
        <v>197</v>
      </c>
      <c r="S36" s="2"/>
      <c r="T36" s="2"/>
      <c r="U36" s="2"/>
      <c r="V36" s="2"/>
      <c r="W36" s="2" t="s">
        <v>211</v>
      </c>
      <c r="X36" s="2" t="s">
        <v>212</v>
      </c>
      <c r="Y36" s="2" t="s">
        <v>166</v>
      </c>
      <c r="Z36" s="2"/>
      <c r="AA36" s="2"/>
      <c r="AB36" s="2"/>
      <c r="AC36" s="2" t="s">
        <v>693</v>
      </c>
      <c r="AD36" s="6" t="b">
        <v>0</v>
      </c>
      <c r="AE36" s="6" t="b">
        <v>0</v>
      </c>
      <c r="AF36" s="2" t="s">
        <v>213</v>
      </c>
    </row>
    <row r="37" spans="1:32" ht="43.05" customHeight="1">
      <c r="A37" s="2" t="s">
        <v>688</v>
      </c>
      <c r="B37" s="2" t="s">
        <v>689</v>
      </c>
      <c r="C37" s="2" t="s">
        <v>690</v>
      </c>
      <c r="D37" s="2" t="s">
        <v>214</v>
      </c>
      <c r="E37" s="2" t="s">
        <v>696</v>
      </c>
      <c r="F37" s="2" t="s">
        <v>215</v>
      </c>
      <c r="G37" s="2" t="s">
        <v>66</v>
      </c>
      <c r="H37" s="2" t="s">
        <v>216</v>
      </c>
      <c r="I37" s="2" t="s">
        <v>217</v>
      </c>
      <c r="J37" s="2" t="s">
        <v>218</v>
      </c>
      <c r="K37" s="2" t="s">
        <v>698</v>
      </c>
      <c r="L37" s="2"/>
      <c r="M37" s="2"/>
      <c r="N37" s="3"/>
      <c r="O37" s="2"/>
      <c r="P37" s="2"/>
      <c r="Q37" s="2"/>
      <c r="R37" s="2"/>
      <c r="S37" s="2"/>
      <c r="T37" s="2"/>
      <c r="U37" s="2"/>
      <c r="V37" s="2"/>
      <c r="W37" s="2" t="s">
        <v>88</v>
      </c>
      <c r="X37" s="2" t="s">
        <v>219</v>
      </c>
      <c r="Y37" s="2" t="s">
        <v>166</v>
      </c>
      <c r="Z37" s="2"/>
      <c r="AA37" s="2"/>
      <c r="AB37" s="2"/>
      <c r="AC37" s="2" t="s">
        <v>693</v>
      </c>
      <c r="AD37" s="6" t="b">
        <v>0</v>
      </c>
      <c r="AE37" s="6" t="b">
        <v>0</v>
      </c>
      <c r="AF37" s="2" t="s">
        <v>694</v>
      </c>
    </row>
    <row r="38" spans="1:32" ht="43.05" customHeight="1">
      <c r="A38" s="2" t="s">
        <v>688</v>
      </c>
      <c r="B38" s="2" t="s">
        <v>689</v>
      </c>
      <c r="C38" s="2" t="s">
        <v>690</v>
      </c>
      <c r="D38" s="2" t="s">
        <v>220</v>
      </c>
      <c r="E38" s="2" t="s">
        <v>696</v>
      </c>
      <c r="F38" s="2" t="s">
        <v>215</v>
      </c>
      <c r="G38" s="2" t="s">
        <v>66</v>
      </c>
      <c r="H38" s="2" t="s">
        <v>221</v>
      </c>
      <c r="I38" s="2" t="s">
        <v>222</v>
      </c>
      <c r="J38" s="2" t="s">
        <v>218</v>
      </c>
      <c r="K38" s="2" t="s">
        <v>698</v>
      </c>
      <c r="L38" s="2"/>
      <c r="M38" s="2"/>
      <c r="N38" s="3"/>
      <c r="O38" s="2"/>
      <c r="P38" s="2"/>
      <c r="Q38" s="2"/>
      <c r="R38" s="2"/>
      <c r="S38" s="2"/>
      <c r="T38" s="2"/>
      <c r="U38" s="2"/>
      <c r="V38" s="2"/>
      <c r="W38" s="2" t="s">
        <v>88</v>
      </c>
      <c r="X38" s="2" t="s">
        <v>223</v>
      </c>
      <c r="Y38" s="2" t="s">
        <v>166</v>
      </c>
      <c r="Z38" s="2"/>
      <c r="AA38" s="2"/>
      <c r="AB38" s="2"/>
      <c r="AC38" s="2" t="s">
        <v>693</v>
      </c>
      <c r="AD38" s="6" t="b">
        <v>0</v>
      </c>
      <c r="AE38" s="6" t="b">
        <v>0</v>
      </c>
      <c r="AF38" s="2" t="s">
        <v>694</v>
      </c>
    </row>
    <row r="39" spans="1:32" ht="43.05" customHeight="1">
      <c r="A39" s="2" t="s">
        <v>688</v>
      </c>
      <c r="B39" s="2" t="s">
        <v>689</v>
      </c>
      <c r="C39" s="2" t="s">
        <v>690</v>
      </c>
      <c r="D39" s="2" t="s">
        <v>224</v>
      </c>
      <c r="E39" s="2" t="s">
        <v>696</v>
      </c>
      <c r="F39" s="2" t="s">
        <v>157</v>
      </c>
      <c r="G39" s="2" t="s">
        <v>66</v>
      </c>
      <c r="H39" s="2" t="s">
        <v>225</v>
      </c>
      <c r="I39" s="2" t="s">
        <v>226</v>
      </c>
      <c r="J39" s="2" t="s">
        <v>98</v>
      </c>
      <c r="K39" s="2" t="s">
        <v>698</v>
      </c>
      <c r="L39" s="2"/>
      <c r="M39" s="2"/>
      <c r="N39" s="3"/>
      <c r="O39" s="2"/>
      <c r="P39" s="2"/>
      <c r="Q39" s="2"/>
      <c r="R39" s="2"/>
      <c r="S39" s="2"/>
      <c r="T39" s="2"/>
      <c r="U39" s="2"/>
      <c r="V39" s="2"/>
      <c r="W39" s="2" t="s">
        <v>88</v>
      </c>
      <c r="X39" s="2" t="s">
        <v>227</v>
      </c>
      <c r="Y39" s="2" t="s">
        <v>166</v>
      </c>
      <c r="Z39" s="2"/>
      <c r="AA39" s="2"/>
      <c r="AB39" s="2"/>
      <c r="AC39" s="2" t="s">
        <v>693</v>
      </c>
      <c r="AD39" s="6" t="b">
        <v>0</v>
      </c>
      <c r="AE39" s="6" t="b">
        <v>0</v>
      </c>
      <c r="AF39" s="2" t="s">
        <v>694</v>
      </c>
    </row>
    <row r="40" spans="1:32" ht="43.05" customHeight="1">
      <c r="A40" s="2" t="s">
        <v>688</v>
      </c>
      <c r="B40" s="2" t="s">
        <v>689</v>
      </c>
      <c r="C40" s="2" t="s">
        <v>690</v>
      </c>
      <c r="D40" s="2" t="s">
        <v>228</v>
      </c>
      <c r="E40" s="2" t="s">
        <v>696</v>
      </c>
      <c r="F40" s="2" t="s">
        <v>157</v>
      </c>
      <c r="G40" s="2" t="s">
        <v>66</v>
      </c>
      <c r="H40" s="2" t="s">
        <v>229</v>
      </c>
      <c r="I40" s="2" t="s">
        <v>164</v>
      </c>
      <c r="J40" s="2" t="s">
        <v>230</v>
      </c>
      <c r="K40" s="2" t="s">
        <v>698</v>
      </c>
      <c r="L40" s="2"/>
      <c r="M40" s="2"/>
      <c r="N40" s="3"/>
      <c r="O40" s="2"/>
      <c r="P40" s="2"/>
      <c r="Q40" s="2"/>
      <c r="R40" s="2"/>
      <c r="S40" s="2"/>
      <c r="T40" s="2"/>
      <c r="U40" s="2"/>
      <c r="V40" s="2"/>
      <c r="W40" s="2" t="s">
        <v>231</v>
      </c>
      <c r="X40" s="2" t="s">
        <v>232</v>
      </c>
      <c r="Y40" s="2" t="s">
        <v>166</v>
      </c>
      <c r="Z40" s="2"/>
      <c r="AA40" s="2"/>
      <c r="AB40" s="2"/>
      <c r="AC40" s="2" t="s">
        <v>693</v>
      </c>
      <c r="AD40" s="6" t="b">
        <v>0</v>
      </c>
      <c r="AE40" s="6" t="b">
        <v>0</v>
      </c>
      <c r="AF40" s="2" t="s">
        <v>233</v>
      </c>
    </row>
    <row r="41" spans="1:32" ht="43.05" customHeight="1">
      <c r="A41" s="2" t="s">
        <v>688</v>
      </c>
      <c r="B41" s="2" t="s">
        <v>689</v>
      </c>
      <c r="C41" s="2" t="s">
        <v>690</v>
      </c>
      <c r="D41" s="2" t="s">
        <v>234</v>
      </c>
      <c r="E41" s="2" t="s">
        <v>696</v>
      </c>
      <c r="F41" s="2" t="s">
        <v>157</v>
      </c>
      <c r="G41" s="2" t="s">
        <v>66</v>
      </c>
      <c r="H41" s="2" t="s">
        <v>235</v>
      </c>
      <c r="I41" s="2" t="s">
        <v>236</v>
      </c>
      <c r="J41" s="2" t="s">
        <v>230</v>
      </c>
      <c r="K41" s="2" t="s">
        <v>698</v>
      </c>
      <c r="L41" s="2"/>
      <c r="M41" s="2"/>
      <c r="N41" s="3"/>
      <c r="O41" s="2"/>
      <c r="P41" s="2"/>
      <c r="Q41" s="2"/>
      <c r="R41" s="2"/>
      <c r="S41" s="2">
        <v>98</v>
      </c>
      <c r="T41" s="2"/>
      <c r="U41" s="2"/>
      <c r="V41" s="2"/>
      <c r="W41" s="2" t="s">
        <v>237</v>
      </c>
      <c r="X41" s="2" t="s">
        <v>238</v>
      </c>
      <c r="Y41" s="2" t="s">
        <v>166</v>
      </c>
      <c r="Z41" s="2"/>
      <c r="AA41" s="2"/>
      <c r="AB41" s="2"/>
      <c r="AC41" s="2" t="s">
        <v>693</v>
      </c>
      <c r="AD41" s="6" t="b">
        <v>0</v>
      </c>
      <c r="AE41" s="6" t="b">
        <v>0</v>
      </c>
      <c r="AF41" s="2" t="s">
        <v>694</v>
      </c>
    </row>
    <row r="42" spans="1:32" ht="43.05" customHeight="1">
      <c r="A42" s="2" t="s">
        <v>688</v>
      </c>
      <c r="B42" s="2" t="s">
        <v>689</v>
      </c>
      <c r="C42" s="2" t="s">
        <v>690</v>
      </c>
      <c r="D42" s="2" t="s">
        <v>239</v>
      </c>
      <c r="E42" s="2" t="s">
        <v>696</v>
      </c>
      <c r="F42" s="2" t="s">
        <v>157</v>
      </c>
      <c r="G42" s="2" t="s">
        <v>66</v>
      </c>
      <c r="H42" s="2" t="s">
        <v>240</v>
      </c>
      <c r="I42" s="2" t="s">
        <v>188</v>
      </c>
      <c r="J42" s="2" t="s">
        <v>230</v>
      </c>
      <c r="K42" s="2" t="s">
        <v>698</v>
      </c>
      <c r="L42" s="2"/>
      <c r="M42" s="2"/>
      <c r="N42" s="3"/>
      <c r="O42" s="2"/>
      <c r="P42" s="2"/>
      <c r="Q42" s="2"/>
      <c r="R42" s="2"/>
      <c r="S42" s="2">
        <v>45</v>
      </c>
      <c r="T42" s="2"/>
      <c r="U42" s="2"/>
      <c r="V42" s="2"/>
      <c r="W42" s="2" t="s">
        <v>241</v>
      </c>
      <c r="X42" s="2" t="s">
        <v>242</v>
      </c>
      <c r="Y42" s="2" t="s">
        <v>166</v>
      </c>
      <c r="Z42" s="2"/>
      <c r="AA42" s="2"/>
      <c r="AB42" s="2"/>
      <c r="AC42" s="2" t="s">
        <v>693</v>
      </c>
      <c r="AD42" s="6" t="b">
        <v>0</v>
      </c>
      <c r="AE42" s="6" t="b">
        <v>0</v>
      </c>
      <c r="AF42" s="2" t="s">
        <v>243</v>
      </c>
    </row>
    <row r="43" spans="1:32" ht="43.05" customHeight="1">
      <c r="A43" s="2" t="s">
        <v>688</v>
      </c>
      <c r="B43" s="2" t="s">
        <v>689</v>
      </c>
      <c r="C43" s="2" t="s">
        <v>690</v>
      </c>
      <c r="D43" s="2" t="s">
        <v>244</v>
      </c>
      <c r="E43" s="2" t="s">
        <v>696</v>
      </c>
      <c r="F43" s="2" t="s">
        <v>157</v>
      </c>
      <c r="G43" s="2" t="s">
        <v>66</v>
      </c>
      <c r="H43" s="2" t="s">
        <v>245</v>
      </c>
      <c r="I43" s="2" t="s">
        <v>188</v>
      </c>
      <c r="J43" s="2" t="s">
        <v>230</v>
      </c>
      <c r="K43" s="2" t="s">
        <v>698</v>
      </c>
      <c r="L43" s="2"/>
      <c r="M43" s="2"/>
      <c r="N43" s="3"/>
      <c r="O43" s="2"/>
      <c r="P43" s="2"/>
      <c r="Q43" s="2"/>
      <c r="R43" s="2"/>
      <c r="S43" s="2">
        <v>90</v>
      </c>
      <c r="T43" s="2"/>
      <c r="U43" s="2"/>
      <c r="V43" s="2"/>
      <c r="W43" s="2" t="s">
        <v>246</v>
      </c>
      <c r="X43" s="2"/>
      <c r="Y43" s="2" t="s">
        <v>166</v>
      </c>
      <c r="Z43" s="2"/>
      <c r="AA43" s="2"/>
      <c r="AB43" s="2"/>
      <c r="AC43" s="2" t="s">
        <v>693</v>
      </c>
      <c r="AD43" s="6" t="b">
        <v>0</v>
      </c>
      <c r="AE43" s="6" t="b">
        <v>0</v>
      </c>
      <c r="AF43" s="2" t="s">
        <v>694</v>
      </c>
    </row>
    <row r="44" spans="1:32" ht="43.05" customHeight="1">
      <c r="A44" s="2" t="s">
        <v>688</v>
      </c>
      <c r="B44" s="2" t="s">
        <v>689</v>
      </c>
      <c r="C44" s="2" t="s">
        <v>690</v>
      </c>
      <c r="D44" s="2" t="s">
        <v>247</v>
      </c>
      <c r="E44" s="2" t="s">
        <v>696</v>
      </c>
      <c r="F44" s="2" t="s">
        <v>157</v>
      </c>
      <c r="G44" s="2" t="s">
        <v>66</v>
      </c>
      <c r="H44" s="2" t="s">
        <v>248</v>
      </c>
      <c r="I44" s="2" t="s">
        <v>188</v>
      </c>
      <c r="J44" s="2" t="s">
        <v>230</v>
      </c>
      <c r="K44" s="2" t="s">
        <v>698</v>
      </c>
      <c r="L44" s="2"/>
      <c r="M44" s="2"/>
      <c r="N44" s="3"/>
      <c r="O44" s="2"/>
      <c r="P44" s="2"/>
      <c r="Q44" s="2"/>
      <c r="R44" s="2"/>
      <c r="S44" s="2">
        <v>120</v>
      </c>
      <c r="T44" s="2"/>
      <c r="U44" s="2"/>
      <c r="V44" s="2"/>
      <c r="W44" s="2" t="s">
        <v>249</v>
      </c>
      <c r="X44" s="2"/>
      <c r="Y44" s="2" t="s">
        <v>166</v>
      </c>
      <c r="Z44" s="2"/>
      <c r="AA44" s="2"/>
      <c r="AB44" s="2"/>
      <c r="AC44" s="2" t="s">
        <v>693</v>
      </c>
      <c r="AD44" s="6" t="b">
        <v>0</v>
      </c>
      <c r="AE44" s="6" t="b">
        <v>0</v>
      </c>
      <c r="AF44" s="2" t="s">
        <v>694</v>
      </c>
    </row>
    <row r="45" spans="1:32" ht="43.05" customHeight="1">
      <c r="A45" s="2" t="s">
        <v>688</v>
      </c>
      <c r="B45" s="2" t="s">
        <v>689</v>
      </c>
      <c r="C45" s="2" t="s">
        <v>690</v>
      </c>
      <c r="D45" s="2" t="s">
        <v>250</v>
      </c>
      <c r="E45" s="2" t="s">
        <v>696</v>
      </c>
      <c r="F45" s="2" t="s">
        <v>251</v>
      </c>
      <c r="G45" s="2" t="s">
        <v>66</v>
      </c>
      <c r="H45" s="2" t="s">
        <v>252</v>
      </c>
      <c r="I45" s="2" t="s">
        <v>253</v>
      </c>
      <c r="J45" s="2" t="s">
        <v>218</v>
      </c>
      <c r="K45" s="2" t="s">
        <v>698</v>
      </c>
      <c r="L45" s="2"/>
      <c r="M45" s="2"/>
      <c r="N45" s="3"/>
      <c r="O45" s="2"/>
      <c r="P45" s="2"/>
      <c r="Q45" s="2"/>
      <c r="R45" s="2"/>
      <c r="S45" s="2"/>
      <c r="T45" s="2"/>
      <c r="U45" s="2"/>
      <c r="V45" s="2"/>
      <c r="W45" s="2" t="s">
        <v>88</v>
      </c>
      <c r="X45" s="2" t="s">
        <v>254</v>
      </c>
      <c r="Y45" s="2" t="s">
        <v>166</v>
      </c>
      <c r="Z45" s="2"/>
      <c r="AA45" s="2"/>
      <c r="AB45" s="2"/>
      <c r="AC45" s="2" t="s">
        <v>693</v>
      </c>
      <c r="AD45" s="6" t="b">
        <v>0</v>
      </c>
      <c r="AE45" s="6" t="b">
        <v>0</v>
      </c>
      <c r="AF45" s="2" t="s">
        <v>255</v>
      </c>
    </row>
    <row r="46" spans="1:32" ht="43.05" customHeight="1">
      <c r="A46" s="2" t="s">
        <v>688</v>
      </c>
      <c r="B46" s="2" t="s">
        <v>689</v>
      </c>
      <c r="C46" s="2" t="s">
        <v>690</v>
      </c>
      <c r="D46" s="2" t="s">
        <v>256</v>
      </c>
      <c r="E46" s="2" t="s">
        <v>702</v>
      </c>
      <c r="F46" s="2" t="s">
        <v>258</v>
      </c>
      <c r="G46" s="2" t="s">
        <v>125</v>
      </c>
      <c r="H46" s="2" t="s">
        <v>259</v>
      </c>
      <c r="I46" s="2" t="s">
        <v>260</v>
      </c>
      <c r="J46" s="2" t="s">
        <v>261</v>
      </c>
      <c r="K46" s="2" t="s">
        <v>698</v>
      </c>
      <c r="L46" s="2"/>
      <c r="M46" s="2"/>
      <c r="N46" s="3"/>
      <c r="O46" s="2"/>
      <c r="P46" s="2"/>
      <c r="Q46" s="2"/>
      <c r="R46" s="2"/>
      <c r="S46" s="2"/>
      <c r="T46" s="2"/>
      <c r="U46" s="2"/>
      <c r="V46" s="2"/>
      <c r="W46" s="2" t="s">
        <v>262</v>
      </c>
      <c r="X46" s="2" t="s">
        <v>263</v>
      </c>
      <c r="Y46" s="2" t="s">
        <v>166</v>
      </c>
      <c r="Z46" s="2"/>
      <c r="AA46" s="2"/>
      <c r="AB46" s="2"/>
      <c r="AC46" s="2" t="s">
        <v>693</v>
      </c>
      <c r="AD46" s="6" t="b">
        <v>0</v>
      </c>
      <c r="AE46" s="6" t="b">
        <v>0</v>
      </c>
      <c r="AF46" s="2" t="s">
        <v>694</v>
      </c>
    </row>
    <row r="47" spans="1:32" ht="43.05" customHeight="1">
      <c r="A47" s="2" t="s">
        <v>688</v>
      </c>
      <c r="B47" s="2" t="s">
        <v>689</v>
      </c>
      <c r="C47" s="2" t="s">
        <v>690</v>
      </c>
      <c r="D47" s="2" t="s">
        <v>264</v>
      </c>
      <c r="E47" s="2" t="s">
        <v>702</v>
      </c>
      <c r="F47" s="2" t="s">
        <v>258</v>
      </c>
      <c r="G47" s="2" t="s">
        <v>125</v>
      </c>
      <c r="H47" s="2" t="s">
        <v>265</v>
      </c>
      <c r="I47" s="2" t="s">
        <v>39</v>
      </c>
      <c r="J47" s="2" t="s">
        <v>261</v>
      </c>
      <c r="K47" s="2" t="s">
        <v>698</v>
      </c>
      <c r="L47" s="2"/>
      <c r="M47" s="2"/>
      <c r="N47" s="3"/>
      <c r="O47" s="2"/>
      <c r="P47" s="2"/>
      <c r="Q47" s="2"/>
      <c r="R47" s="2"/>
      <c r="S47" s="2"/>
      <c r="T47" s="2"/>
      <c r="U47" s="2"/>
      <c r="V47" s="2"/>
      <c r="W47" s="2" t="s">
        <v>262</v>
      </c>
      <c r="X47" s="2" t="s">
        <v>266</v>
      </c>
      <c r="Y47" s="2" t="s">
        <v>166</v>
      </c>
      <c r="Z47" s="2"/>
      <c r="AA47" s="2"/>
      <c r="AB47" s="2"/>
      <c r="AC47" s="2" t="s">
        <v>693</v>
      </c>
      <c r="AD47" s="6" t="b">
        <v>0</v>
      </c>
      <c r="AE47" s="6" t="b">
        <v>0</v>
      </c>
      <c r="AF47" s="2" t="s">
        <v>267</v>
      </c>
    </row>
    <row r="48" spans="1:32" ht="43.05" customHeight="1">
      <c r="A48" s="2" t="s">
        <v>688</v>
      </c>
      <c r="B48" s="2" t="s">
        <v>689</v>
      </c>
      <c r="C48" s="2" t="s">
        <v>690</v>
      </c>
      <c r="D48" s="2" t="s">
        <v>268</v>
      </c>
      <c r="E48" s="2" t="s">
        <v>702</v>
      </c>
      <c r="F48" s="2" t="s">
        <v>269</v>
      </c>
      <c r="G48" s="2" t="s">
        <v>125</v>
      </c>
      <c r="H48" s="2" t="s">
        <v>270</v>
      </c>
      <c r="I48" s="2" t="s">
        <v>39</v>
      </c>
      <c r="J48" s="2" t="s">
        <v>261</v>
      </c>
      <c r="K48" s="2" t="s">
        <v>698</v>
      </c>
      <c r="L48" s="2"/>
      <c r="M48" s="2"/>
      <c r="N48" s="3"/>
      <c r="O48" s="2"/>
      <c r="P48" s="2"/>
      <c r="Q48" s="2"/>
      <c r="R48" s="2"/>
      <c r="S48" s="2"/>
      <c r="T48" s="2"/>
      <c r="U48" s="2"/>
      <c r="V48" s="2"/>
      <c r="W48" s="2" t="s">
        <v>262</v>
      </c>
      <c r="X48" s="2" t="s">
        <v>271</v>
      </c>
      <c r="Y48" s="2" t="s">
        <v>166</v>
      </c>
      <c r="Z48" s="2"/>
      <c r="AA48" s="2"/>
      <c r="AB48" s="2"/>
      <c r="AC48" s="2" t="s">
        <v>693</v>
      </c>
      <c r="AD48" s="6" t="b">
        <v>0</v>
      </c>
      <c r="AE48" s="6" t="b">
        <v>0</v>
      </c>
      <c r="AF48" s="2" t="s">
        <v>272</v>
      </c>
    </row>
    <row r="49" spans="1:32" ht="43.05" customHeight="1">
      <c r="A49" s="2" t="s">
        <v>688</v>
      </c>
      <c r="B49" s="2" t="s">
        <v>689</v>
      </c>
      <c r="C49" s="2" t="s">
        <v>690</v>
      </c>
      <c r="D49" s="2" t="s">
        <v>273</v>
      </c>
      <c r="E49" s="2" t="s">
        <v>702</v>
      </c>
      <c r="F49" s="2" t="s">
        <v>258</v>
      </c>
      <c r="G49" s="2" t="s">
        <v>125</v>
      </c>
      <c r="H49" s="2" t="s">
        <v>274</v>
      </c>
      <c r="I49" s="2" t="s">
        <v>275</v>
      </c>
      <c r="J49" s="2" t="s">
        <v>261</v>
      </c>
      <c r="K49" s="2" t="s">
        <v>698</v>
      </c>
      <c r="L49" s="2"/>
      <c r="M49" s="2"/>
      <c r="N49" s="3"/>
      <c r="O49" s="2"/>
      <c r="P49" s="2"/>
      <c r="Q49" s="2"/>
      <c r="R49" s="2"/>
      <c r="S49" s="2"/>
      <c r="T49" s="2"/>
      <c r="U49" s="2"/>
      <c r="V49" s="2"/>
      <c r="W49" s="2" t="s">
        <v>262</v>
      </c>
      <c r="X49" s="2" t="s">
        <v>276</v>
      </c>
      <c r="Y49" s="2" t="s">
        <v>166</v>
      </c>
      <c r="Z49" s="2"/>
      <c r="AA49" s="2"/>
      <c r="AB49" s="2"/>
      <c r="AC49" s="2" t="s">
        <v>693</v>
      </c>
      <c r="AD49" s="6" t="b">
        <v>0</v>
      </c>
      <c r="AE49" s="6" t="b">
        <v>0</v>
      </c>
      <c r="AF49" s="2" t="s">
        <v>694</v>
      </c>
    </row>
    <row r="50" spans="1:32" ht="43.05" customHeight="1">
      <c r="A50" s="2" t="s">
        <v>688</v>
      </c>
      <c r="B50" s="2" t="s">
        <v>689</v>
      </c>
      <c r="C50" s="2" t="s">
        <v>690</v>
      </c>
      <c r="D50" s="2" t="s">
        <v>277</v>
      </c>
      <c r="E50" s="2" t="s">
        <v>696</v>
      </c>
      <c r="F50" s="2" t="s">
        <v>278</v>
      </c>
      <c r="G50" s="2" t="s">
        <v>66</v>
      </c>
      <c r="H50" s="2" t="s">
        <v>279</v>
      </c>
      <c r="I50" s="2" t="s">
        <v>280</v>
      </c>
      <c r="J50" s="2" t="s">
        <v>218</v>
      </c>
      <c r="K50" s="2" t="s">
        <v>698</v>
      </c>
      <c r="L50" s="2"/>
      <c r="M50" s="2"/>
      <c r="N50" s="3"/>
      <c r="O50" s="2"/>
      <c r="P50" s="2"/>
      <c r="Q50" s="2"/>
      <c r="R50" s="2"/>
      <c r="S50" s="2"/>
      <c r="T50" s="2"/>
      <c r="U50" s="2"/>
      <c r="V50" s="2"/>
      <c r="W50" s="2" t="s">
        <v>88</v>
      </c>
      <c r="X50" s="2" t="s">
        <v>281</v>
      </c>
      <c r="Y50" s="2" t="s">
        <v>166</v>
      </c>
      <c r="Z50" s="2"/>
      <c r="AA50" s="2"/>
      <c r="AB50" s="2"/>
      <c r="AC50" s="2" t="s">
        <v>693</v>
      </c>
      <c r="AD50" s="6" t="b">
        <v>0</v>
      </c>
      <c r="AE50" s="6" t="b">
        <v>0</v>
      </c>
      <c r="AF50" s="2" t="s">
        <v>282</v>
      </c>
    </row>
    <row r="51" spans="1:32" ht="43.05" customHeight="1">
      <c r="A51" s="2" t="s">
        <v>688</v>
      </c>
      <c r="B51" s="2" t="s">
        <v>689</v>
      </c>
      <c r="C51" s="2" t="s">
        <v>690</v>
      </c>
      <c r="D51" s="2" t="s">
        <v>283</v>
      </c>
      <c r="E51" s="2" t="s">
        <v>696</v>
      </c>
      <c r="F51" s="2" t="s">
        <v>284</v>
      </c>
      <c r="G51" s="2" t="s">
        <v>66</v>
      </c>
      <c r="H51" s="2" t="s">
        <v>285</v>
      </c>
      <c r="I51" s="2" t="s">
        <v>29</v>
      </c>
      <c r="J51" s="2" t="s">
        <v>218</v>
      </c>
      <c r="K51" s="2" t="s">
        <v>698</v>
      </c>
      <c r="L51" s="2"/>
      <c r="M51" s="2"/>
      <c r="N51" s="3"/>
      <c r="O51" s="2"/>
      <c r="P51" s="2"/>
      <c r="Q51" s="2"/>
      <c r="R51" s="2"/>
      <c r="S51" s="2"/>
      <c r="T51" s="2"/>
      <c r="U51" s="2"/>
      <c r="V51" s="2"/>
      <c r="W51" s="2" t="s">
        <v>88</v>
      </c>
      <c r="X51" s="2" t="s">
        <v>286</v>
      </c>
      <c r="Y51" s="2" t="s">
        <v>166</v>
      </c>
      <c r="Z51" s="2"/>
      <c r="AA51" s="2"/>
      <c r="AB51" s="2"/>
      <c r="AC51" s="2" t="s">
        <v>693</v>
      </c>
      <c r="AD51" s="6" t="b">
        <v>0</v>
      </c>
      <c r="AE51" s="6" t="b">
        <v>0</v>
      </c>
      <c r="AF51" s="2" t="s">
        <v>694</v>
      </c>
    </row>
    <row r="52" spans="1:32" ht="43.05" customHeight="1">
      <c r="A52" s="2" t="s">
        <v>688</v>
      </c>
      <c r="B52" s="2" t="s">
        <v>689</v>
      </c>
      <c r="C52" s="2" t="s">
        <v>690</v>
      </c>
      <c r="D52" s="2" t="s">
        <v>287</v>
      </c>
      <c r="E52" s="2" t="s">
        <v>696</v>
      </c>
      <c r="F52" s="2" t="s">
        <v>284</v>
      </c>
      <c r="G52" s="2" t="s">
        <v>66</v>
      </c>
      <c r="H52" s="2" t="s">
        <v>288</v>
      </c>
      <c r="I52" s="2" t="s">
        <v>289</v>
      </c>
      <c r="J52" s="2" t="s">
        <v>218</v>
      </c>
      <c r="K52" s="2" t="s">
        <v>698</v>
      </c>
      <c r="L52" s="2"/>
      <c r="M52" s="2"/>
      <c r="N52" s="3"/>
      <c r="O52" s="2"/>
      <c r="P52" s="2"/>
      <c r="Q52" s="2"/>
      <c r="R52" s="2"/>
      <c r="S52" s="2"/>
      <c r="T52" s="2"/>
      <c r="U52" s="2"/>
      <c r="V52" s="2"/>
      <c r="W52" s="2" t="s">
        <v>88</v>
      </c>
      <c r="X52" s="2" t="s">
        <v>290</v>
      </c>
      <c r="Y52" s="2" t="s">
        <v>166</v>
      </c>
      <c r="Z52" s="2"/>
      <c r="AA52" s="2"/>
      <c r="AB52" s="2"/>
      <c r="AC52" s="2" t="s">
        <v>693</v>
      </c>
      <c r="AD52" s="6" t="b">
        <v>0</v>
      </c>
      <c r="AE52" s="6" t="b">
        <v>0</v>
      </c>
      <c r="AF52" s="2" t="s">
        <v>694</v>
      </c>
    </row>
    <row r="53" spans="1:32" ht="43.05" customHeight="1">
      <c r="A53" s="2" t="s">
        <v>688</v>
      </c>
      <c r="B53" s="2" t="s">
        <v>689</v>
      </c>
      <c r="C53" s="2" t="s">
        <v>690</v>
      </c>
      <c r="D53" s="2" t="s">
        <v>291</v>
      </c>
      <c r="E53" s="2" t="s">
        <v>696</v>
      </c>
      <c r="F53" s="2" t="s">
        <v>284</v>
      </c>
      <c r="G53" s="2" t="s">
        <v>66</v>
      </c>
      <c r="H53" s="2" t="s">
        <v>292</v>
      </c>
      <c r="I53" s="2" t="s">
        <v>293</v>
      </c>
      <c r="J53" s="2" t="s">
        <v>218</v>
      </c>
      <c r="K53" s="2" t="s">
        <v>698</v>
      </c>
      <c r="L53" s="2"/>
      <c r="M53" s="2"/>
      <c r="N53" s="3"/>
      <c r="O53" s="2"/>
      <c r="P53" s="2"/>
      <c r="Q53" s="2"/>
      <c r="R53" s="2"/>
      <c r="S53" s="2"/>
      <c r="T53" s="2"/>
      <c r="U53" s="2"/>
      <c r="V53" s="2"/>
      <c r="W53" s="2" t="s">
        <v>88</v>
      </c>
      <c r="X53" s="2" t="s">
        <v>294</v>
      </c>
      <c r="Y53" s="2" t="s">
        <v>166</v>
      </c>
      <c r="Z53" s="2"/>
      <c r="AA53" s="2"/>
      <c r="AB53" s="2"/>
      <c r="AC53" s="2" t="s">
        <v>693</v>
      </c>
      <c r="AD53" s="6" t="b">
        <v>0</v>
      </c>
      <c r="AE53" s="6" t="b">
        <v>0</v>
      </c>
      <c r="AF53" s="2" t="s">
        <v>694</v>
      </c>
    </row>
    <row r="54" spans="1:32" ht="43.05" customHeight="1">
      <c r="A54" s="2" t="s">
        <v>688</v>
      </c>
      <c r="B54" s="2" t="s">
        <v>689</v>
      </c>
      <c r="C54" s="2" t="s">
        <v>690</v>
      </c>
      <c r="D54" s="2" t="s">
        <v>295</v>
      </c>
      <c r="E54" s="2" t="s">
        <v>696</v>
      </c>
      <c r="F54" s="2" t="s">
        <v>296</v>
      </c>
      <c r="G54" s="2" t="s">
        <v>66</v>
      </c>
      <c r="H54" s="2" t="s">
        <v>297</v>
      </c>
      <c r="I54" s="2" t="s">
        <v>193</v>
      </c>
      <c r="J54" s="2" t="s">
        <v>98</v>
      </c>
      <c r="K54" s="2" t="s">
        <v>698</v>
      </c>
      <c r="L54" s="2"/>
      <c r="M54" s="2"/>
      <c r="N54" s="3"/>
      <c r="O54" s="2"/>
      <c r="P54" s="2"/>
      <c r="Q54" s="2"/>
      <c r="R54" s="2"/>
      <c r="S54" s="2"/>
      <c r="T54" s="2"/>
      <c r="U54" s="2"/>
      <c r="V54" s="2"/>
      <c r="W54" s="2" t="s">
        <v>88</v>
      </c>
      <c r="X54" s="2" t="s">
        <v>298</v>
      </c>
      <c r="Y54" s="2" t="s">
        <v>166</v>
      </c>
      <c r="Z54" s="2"/>
      <c r="AA54" s="2"/>
      <c r="AB54" s="2"/>
      <c r="AC54" s="2" t="s">
        <v>693</v>
      </c>
      <c r="AD54" s="6" t="b">
        <v>0</v>
      </c>
      <c r="AE54" s="6" t="b">
        <v>0</v>
      </c>
      <c r="AF54" s="2" t="s">
        <v>694</v>
      </c>
    </row>
    <row r="55" spans="1:32" ht="43.05" customHeight="1">
      <c r="A55" s="2" t="s">
        <v>688</v>
      </c>
      <c r="B55" s="2" t="s">
        <v>689</v>
      </c>
      <c r="C55" s="2" t="s">
        <v>690</v>
      </c>
      <c r="D55" s="2" t="s">
        <v>299</v>
      </c>
      <c r="E55" s="2" t="s">
        <v>703</v>
      </c>
      <c r="F55" s="2" t="s">
        <v>301</v>
      </c>
      <c r="G55" s="2" t="s">
        <v>303</v>
      </c>
      <c r="H55" s="2" t="s">
        <v>302</v>
      </c>
      <c r="I55" s="2" t="s">
        <v>304</v>
      </c>
      <c r="J55" s="2" t="s">
        <v>30</v>
      </c>
      <c r="K55" s="2" t="s">
        <v>692</v>
      </c>
      <c r="L55" s="2">
        <v>0</v>
      </c>
      <c r="M55" s="2"/>
      <c r="N55" s="3"/>
      <c r="O55" s="2" t="s">
        <v>305</v>
      </c>
      <c r="P55" s="2"/>
      <c r="Q55" s="2"/>
      <c r="R55" s="2"/>
      <c r="S55" s="2"/>
      <c r="T55" s="2"/>
      <c r="U55" s="2"/>
      <c r="V55" s="2"/>
      <c r="W55" s="2" t="s">
        <v>31</v>
      </c>
      <c r="X55" s="2" t="s">
        <v>306</v>
      </c>
      <c r="Y55" s="2" t="s">
        <v>308</v>
      </c>
      <c r="Z55" s="2"/>
      <c r="AA55" s="2"/>
      <c r="AB55" s="2"/>
      <c r="AC55" s="2" t="s">
        <v>693</v>
      </c>
      <c r="AD55" s="6" t="b">
        <v>0</v>
      </c>
      <c r="AE55" s="6" t="b">
        <v>0</v>
      </c>
      <c r="AF55" s="2" t="s">
        <v>310</v>
      </c>
    </row>
    <row r="56" spans="1:32" ht="43.05" customHeight="1">
      <c r="A56" s="2" t="s">
        <v>688</v>
      </c>
      <c r="B56" s="2" t="s">
        <v>689</v>
      </c>
      <c r="C56" s="2" t="s">
        <v>690</v>
      </c>
      <c r="D56" s="2" t="s">
        <v>311</v>
      </c>
      <c r="E56" s="2" t="s">
        <v>703</v>
      </c>
      <c r="F56" s="2" t="s">
        <v>312</v>
      </c>
      <c r="G56" s="2" t="s">
        <v>303</v>
      </c>
      <c r="H56" s="2" t="s">
        <v>313</v>
      </c>
      <c r="I56" s="2" t="s">
        <v>304</v>
      </c>
      <c r="J56" s="2" t="s">
        <v>30</v>
      </c>
      <c r="K56" s="2" t="s">
        <v>697</v>
      </c>
      <c r="L56" s="2">
        <v>800</v>
      </c>
      <c r="M56" s="2"/>
      <c r="N56" s="3"/>
      <c r="O56" s="2" t="s">
        <v>315</v>
      </c>
      <c r="P56" s="2"/>
      <c r="Q56" s="2"/>
      <c r="R56" s="2"/>
      <c r="S56" s="2"/>
      <c r="T56" s="2"/>
      <c r="U56" s="2"/>
      <c r="V56" s="2"/>
      <c r="W56" s="2" t="s">
        <v>314</v>
      </c>
      <c r="X56" s="2" t="s">
        <v>316</v>
      </c>
      <c r="Y56" s="2" t="s">
        <v>308</v>
      </c>
      <c r="Z56" s="2"/>
      <c r="AA56" s="2"/>
      <c r="AB56" s="2"/>
      <c r="AC56" s="2" t="s">
        <v>693</v>
      </c>
      <c r="AD56" s="6" t="b">
        <v>0</v>
      </c>
      <c r="AE56" s="6" t="b">
        <v>0</v>
      </c>
      <c r="AF56" s="2" t="s">
        <v>317</v>
      </c>
    </row>
    <row r="57" spans="1:32" ht="43.05" customHeight="1">
      <c r="A57" s="2" t="s">
        <v>688</v>
      </c>
      <c r="B57" s="2" t="s">
        <v>689</v>
      </c>
      <c r="C57" s="2" t="s">
        <v>690</v>
      </c>
      <c r="D57" s="2" t="s">
        <v>318</v>
      </c>
      <c r="E57" s="2" t="s">
        <v>703</v>
      </c>
      <c r="F57" s="2" t="s">
        <v>319</v>
      </c>
      <c r="G57" s="2" t="s">
        <v>303</v>
      </c>
      <c r="H57" s="2" t="s">
        <v>320</v>
      </c>
      <c r="I57" s="2" t="s">
        <v>181</v>
      </c>
      <c r="J57" s="2" t="s">
        <v>30</v>
      </c>
      <c r="K57" s="2" t="s">
        <v>704</v>
      </c>
      <c r="L57" s="2"/>
      <c r="M57" s="2"/>
      <c r="N57" s="3">
        <v>1.4999999999999999E-2</v>
      </c>
      <c r="O57" s="2" t="s">
        <v>322</v>
      </c>
      <c r="P57" s="2"/>
      <c r="Q57" s="2"/>
      <c r="R57" s="2"/>
      <c r="S57" s="2"/>
      <c r="T57" s="2"/>
      <c r="U57" s="2"/>
      <c r="V57" s="2"/>
      <c r="W57" s="2" t="s">
        <v>321</v>
      </c>
      <c r="X57" s="2" t="s">
        <v>323</v>
      </c>
      <c r="Y57" s="2" t="s">
        <v>308</v>
      </c>
      <c r="Z57" s="2"/>
      <c r="AA57" s="2"/>
      <c r="AB57" s="2"/>
      <c r="AC57" s="2" t="s">
        <v>693</v>
      </c>
      <c r="AD57" s="6" t="b">
        <v>0</v>
      </c>
      <c r="AE57" s="6" t="b">
        <v>0</v>
      </c>
      <c r="AF57" s="2" t="s">
        <v>324</v>
      </c>
    </row>
    <row r="58" spans="1:32" ht="43.05" customHeight="1">
      <c r="A58" s="2" t="s">
        <v>688</v>
      </c>
      <c r="B58" s="2" t="s">
        <v>689</v>
      </c>
      <c r="C58" s="2" t="s">
        <v>690</v>
      </c>
      <c r="D58" s="2" t="s">
        <v>325</v>
      </c>
      <c r="E58" s="2" t="s">
        <v>703</v>
      </c>
      <c r="F58" s="2" t="s">
        <v>326</v>
      </c>
      <c r="G58" s="2" t="s">
        <v>303</v>
      </c>
      <c r="H58" s="2" t="s">
        <v>327</v>
      </c>
      <c r="I58" s="2" t="s">
        <v>328</v>
      </c>
      <c r="J58" s="2" t="s">
        <v>30</v>
      </c>
      <c r="K58" s="2" t="s">
        <v>692</v>
      </c>
      <c r="L58" s="2">
        <v>0</v>
      </c>
      <c r="M58" s="2"/>
      <c r="N58" s="3"/>
      <c r="O58" s="2" t="s">
        <v>69</v>
      </c>
      <c r="P58" s="2"/>
      <c r="Q58" s="2"/>
      <c r="R58" s="2"/>
      <c r="S58" s="2"/>
      <c r="T58" s="2"/>
      <c r="U58" s="2"/>
      <c r="V58" s="2"/>
      <c r="W58" s="2" t="s">
        <v>31</v>
      </c>
      <c r="X58" s="2" t="s">
        <v>329</v>
      </c>
      <c r="Y58" s="2" t="s">
        <v>308</v>
      </c>
      <c r="Z58" s="2"/>
      <c r="AA58" s="2"/>
      <c r="AB58" s="2"/>
      <c r="AC58" s="2" t="s">
        <v>693</v>
      </c>
      <c r="AD58" s="6" t="b">
        <v>0</v>
      </c>
      <c r="AE58" s="6" t="b">
        <v>0</v>
      </c>
      <c r="AF58" s="2" t="s">
        <v>694</v>
      </c>
    </row>
    <row r="59" spans="1:32" ht="43.05" customHeight="1">
      <c r="A59" s="2" t="s">
        <v>688</v>
      </c>
      <c r="B59" s="2" t="s">
        <v>689</v>
      </c>
      <c r="C59" s="2" t="s">
        <v>690</v>
      </c>
      <c r="D59" s="2" t="s">
        <v>330</v>
      </c>
      <c r="E59" s="2" t="s">
        <v>703</v>
      </c>
      <c r="F59" s="2" t="s">
        <v>331</v>
      </c>
      <c r="G59" s="2" t="s">
        <v>303</v>
      </c>
      <c r="H59" s="2" t="s">
        <v>332</v>
      </c>
      <c r="I59" s="2" t="s">
        <v>181</v>
      </c>
      <c r="J59" s="2" t="s">
        <v>218</v>
      </c>
      <c r="K59" s="2" t="s">
        <v>698</v>
      </c>
      <c r="L59" s="2"/>
      <c r="M59" s="2"/>
      <c r="N59" s="3"/>
      <c r="O59" s="2"/>
      <c r="P59" s="2"/>
      <c r="Q59" s="2"/>
      <c r="R59" s="2"/>
      <c r="S59" s="2"/>
      <c r="T59" s="2"/>
      <c r="U59" s="2"/>
      <c r="V59" s="2"/>
      <c r="W59" s="2" t="s">
        <v>88</v>
      </c>
      <c r="X59" s="2" t="s">
        <v>333</v>
      </c>
      <c r="Y59" s="2" t="s">
        <v>166</v>
      </c>
      <c r="Z59" s="2"/>
      <c r="AA59" s="2"/>
      <c r="AB59" s="2"/>
      <c r="AC59" s="2" t="s">
        <v>693</v>
      </c>
      <c r="AD59" s="6" t="b">
        <v>0</v>
      </c>
      <c r="AE59" s="6" t="b">
        <v>0</v>
      </c>
      <c r="AF59" s="2" t="s">
        <v>334</v>
      </c>
    </row>
    <row r="60" spans="1:32" ht="43.05" customHeight="1">
      <c r="A60" s="2" t="s">
        <v>688</v>
      </c>
      <c r="B60" s="2" t="s">
        <v>689</v>
      </c>
      <c r="C60" s="2" t="s">
        <v>690</v>
      </c>
      <c r="D60" s="2" t="s">
        <v>335</v>
      </c>
      <c r="E60" s="2" t="s">
        <v>705</v>
      </c>
      <c r="F60" s="2" t="s">
        <v>337</v>
      </c>
      <c r="G60" s="2" t="s">
        <v>28</v>
      </c>
      <c r="H60" s="2" t="s">
        <v>338</v>
      </c>
      <c r="I60" s="2" t="s">
        <v>104</v>
      </c>
      <c r="J60" s="2" t="s">
        <v>30</v>
      </c>
      <c r="K60" s="2" t="s">
        <v>697</v>
      </c>
      <c r="L60" s="2">
        <v>1000</v>
      </c>
      <c r="M60" s="2"/>
      <c r="N60" s="3"/>
      <c r="O60" s="2" t="s">
        <v>340</v>
      </c>
      <c r="P60" s="2"/>
      <c r="Q60" s="2"/>
      <c r="R60" s="2"/>
      <c r="S60" s="2"/>
      <c r="T60" s="2"/>
      <c r="U60" s="2"/>
      <c r="V60" s="2"/>
      <c r="W60" s="2" t="s">
        <v>339</v>
      </c>
      <c r="X60" s="2" t="s">
        <v>341</v>
      </c>
      <c r="Y60" s="2" t="s">
        <v>342</v>
      </c>
      <c r="Z60" s="2"/>
      <c r="AA60" s="2"/>
      <c r="AB60" s="2"/>
      <c r="AC60" s="2" t="s">
        <v>693</v>
      </c>
      <c r="AD60" s="6" t="b">
        <v>0</v>
      </c>
      <c r="AE60" s="6" t="b">
        <v>0</v>
      </c>
      <c r="AF60" s="2" t="s">
        <v>694</v>
      </c>
    </row>
    <row r="61" spans="1:32" ht="43.05" customHeight="1">
      <c r="A61" s="2" t="s">
        <v>688</v>
      </c>
      <c r="B61" s="2" t="s">
        <v>689</v>
      </c>
      <c r="C61" s="2" t="s">
        <v>690</v>
      </c>
      <c r="D61" s="2" t="s">
        <v>343</v>
      </c>
      <c r="E61" s="2" t="s">
        <v>705</v>
      </c>
      <c r="F61" s="2" t="s">
        <v>337</v>
      </c>
      <c r="G61" s="2" t="s">
        <v>303</v>
      </c>
      <c r="H61" s="2" t="s">
        <v>344</v>
      </c>
      <c r="I61" s="2" t="s">
        <v>104</v>
      </c>
      <c r="J61" s="2" t="s">
        <v>30</v>
      </c>
      <c r="K61" s="2" t="s">
        <v>697</v>
      </c>
      <c r="L61" s="2">
        <v>4200</v>
      </c>
      <c r="M61" s="2"/>
      <c r="N61" s="3"/>
      <c r="O61" s="2" t="s">
        <v>340</v>
      </c>
      <c r="P61" s="2"/>
      <c r="Q61" s="2"/>
      <c r="R61" s="2"/>
      <c r="S61" s="2"/>
      <c r="T61" s="2"/>
      <c r="U61" s="2"/>
      <c r="V61" s="2"/>
      <c r="W61" s="2" t="s">
        <v>345</v>
      </c>
      <c r="X61" s="2" t="s">
        <v>341</v>
      </c>
      <c r="Y61" s="2" t="s">
        <v>342</v>
      </c>
      <c r="Z61" s="2"/>
      <c r="AA61" s="2"/>
      <c r="AB61" s="2"/>
      <c r="AC61" s="2" t="s">
        <v>693</v>
      </c>
      <c r="AD61" s="6" t="b">
        <v>0</v>
      </c>
      <c r="AE61" s="6" t="b">
        <v>0</v>
      </c>
      <c r="AF61" s="2" t="s">
        <v>694</v>
      </c>
    </row>
    <row r="62" spans="1:32" ht="43.05" customHeight="1">
      <c r="A62" s="2" t="s">
        <v>688</v>
      </c>
      <c r="B62" s="2" t="s">
        <v>689</v>
      </c>
      <c r="C62" s="2" t="s">
        <v>690</v>
      </c>
      <c r="D62" s="2" t="s">
        <v>346</v>
      </c>
      <c r="E62" s="2" t="s">
        <v>703</v>
      </c>
      <c r="F62" s="2" t="s">
        <v>347</v>
      </c>
      <c r="G62" s="2" t="s">
        <v>303</v>
      </c>
      <c r="H62" s="2" t="s">
        <v>348</v>
      </c>
      <c r="I62" s="2" t="s">
        <v>304</v>
      </c>
      <c r="J62" s="2" t="s">
        <v>30</v>
      </c>
      <c r="K62" s="2" t="s">
        <v>706</v>
      </c>
      <c r="L62" s="2">
        <v>300</v>
      </c>
      <c r="M62" s="2"/>
      <c r="N62" s="3"/>
      <c r="O62" s="2" t="s">
        <v>315</v>
      </c>
      <c r="P62" s="2"/>
      <c r="Q62" s="2"/>
      <c r="R62" s="2"/>
      <c r="S62" s="2"/>
      <c r="T62" s="2"/>
      <c r="U62" s="2"/>
      <c r="V62" s="2" t="s">
        <v>311</v>
      </c>
      <c r="W62" s="2" t="s">
        <v>349</v>
      </c>
      <c r="X62" s="2" t="s">
        <v>350</v>
      </c>
      <c r="Y62" s="2" t="s">
        <v>342</v>
      </c>
      <c r="Z62" s="2"/>
      <c r="AA62" s="2"/>
      <c r="AB62" s="2"/>
      <c r="AC62" s="2" t="s">
        <v>693</v>
      </c>
      <c r="AD62" s="6" t="b">
        <v>0</v>
      </c>
      <c r="AE62" s="6" t="b">
        <v>0</v>
      </c>
      <c r="AF62" s="2" t="s">
        <v>351</v>
      </c>
    </row>
    <row r="63" spans="1:32" ht="43.05" customHeight="1">
      <c r="A63" s="2" t="s">
        <v>688</v>
      </c>
      <c r="B63" s="2" t="s">
        <v>689</v>
      </c>
      <c r="C63" s="2" t="s">
        <v>690</v>
      </c>
      <c r="D63" s="2" t="s">
        <v>352</v>
      </c>
      <c r="E63" s="2" t="s">
        <v>703</v>
      </c>
      <c r="F63" s="2" t="s">
        <v>347</v>
      </c>
      <c r="G63" s="2" t="s">
        <v>303</v>
      </c>
      <c r="H63" s="2" t="s">
        <v>353</v>
      </c>
      <c r="I63" s="2" t="s">
        <v>304</v>
      </c>
      <c r="J63" s="2" t="s">
        <v>30</v>
      </c>
      <c r="K63" s="2" t="s">
        <v>706</v>
      </c>
      <c r="L63" s="2">
        <v>300</v>
      </c>
      <c r="M63" s="2"/>
      <c r="N63" s="3"/>
      <c r="O63" s="2" t="s">
        <v>315</v>
      </c>
      <c r="P63" s="2"/>
      <c r="Q63" s="2"/>
      <c r="R63" s="2"/>
      <c r="S63" s="2"/>
      <c r="T63" s="2"/>
      <c r="U63" s="2"/>
      <c r="V63" s="2" t="s">
        <v>311</v>
      </c>
      <c r="W63" s="2" t="s">
        <v>349</v>
      </c>
      <c r="X63" s="2" t="s">
        <v>350</v>
      </c>
      <c r="Y63" s="2" t="s">
        <v>342</v>
      </c>
      <c r="Z63" s="2"/>
      <c r="AA63" s="2"/>
      <c r="AB63" s="2"/>
      <c r="AC63" s="2" t="s">
        <v>693</v>
      </c>
      <c r="AD63" s="6" t="b">
        <v>0</v>
      </c>
      <c r="AE63" s="6" t="b">
        <v>0</v>
      </c>
      <c r="AF63" s="2" t="s">
        <v>351</v>
      </c>
    </row>
    <row r="64" spans="1:32" ht="43.05" customHeight="1">
      <c r="A64" s="2" t="s">
        <v>688</v>
      </c>
      <c r="B64" s="2" t="s">
        <v>689</v>
      </c>
      <c r="C64" s="2" t="s">
        <v>690</v>
      </c>
      <c r="D64" s="2" t="s">
        <v>354</v>
      </c>
      <c r="E64" s="2" t="s">
        <v>703</v>
      </c>
      <c r="F64" s="2" t="s">
        <v>347</v>
      </c>
      <c r="G64" s="2" t="s">
        <v>303</v>
      </c>
      <c r="H64" s="2" t="s">
        <v>355</v>
      </c>
      <c r="I64" s="2" t="s">
        <v>304</v>
      </c>
      <c r="J64" s="2" t="s">
        <v>30</v>
      </c>
      <c r="K64" s="2" t="s">
        <v>706</v>
      </c>
      <c r="L64" s="2">
        <v>200</v>
      </c>
      <c r="M64" s="2"/>
      <c r="N64" s="3"/>
      <c r="O64" s="2" t="s">
        <v>315</v>
      </c>
      <c r="P64" s="2"/>
      <c r="Q64" s="2"/>
      <c r="R64" s="2"/>
      <c r="S64" s="2"/>
      <c r="T64" s="2"/>
      <c r="U64" s="2"/>
      <c r="V64" s="2" t="s">
        <v>311</v>
      </c>
      <c r="W64" s="2" t="s">
        <v>356</v>
      </c>
      <c r="X64" s="2" t="s">
        <v>350</v>
      </c>
      <c r="Y64" s="2" t="s">
        <v>342</v>
      </c>
      <c r="Z64" s="2"/>
      <c r="AA64" s="2"/>
      <c r="AB64" s="2"/>
      <c r="AC64" s="2" t="s">
        <v>693</v>
      </c>
      <c r="AD64" s="6" t="b">
        <v>0</v>
      </c>
      <c r="AE64" s="6" t="b">
        <v>0</v>
      </c>
      <c r="AF64" s="2" t="s">
        <v>351</v>
      </c>
    </row>
    <row r="65" spans="1:32" ht="43.05" customHeight="1">
      <c r="A65" s="2" t="s">
        <v>688</v>
      </c>
      <c r="B65" s="2" t="s">
        <v>689</v>
      </c>
      <c r="C65" s="2" t="s">
        <v>690</v>
      </c>
      <c r="D65" s="2" t="s">
        <v>357</v>
      </c>
      <c r="E65" s="2" t="s">
        <v>700</v>
      </c>
      <c r="F65" s="2" t="s">
        <v>210</v>
      </c>
      <c r="G65" s="2" t="s">
        <v>28</v>
      </c>
      <c r="H65" s="2" t="s">
        <v>358</v>
      </c>
      <c r="I65" s="2" t="s">
        <v>359</v>
      </c>
      <c r="J65" s="2" t="s">
        <v>30</v>
      </c>
      <c r="K65" s="2" t="s">
        <v>697</v>
      </c>
      <c r="L65" s="2">
        <v>50</v>
      </c>
      <c r="M65" s="2"/>
      <c r="N65" s="3"/>
      <c r="O65" s="2" t="s">
        <v>361</v>
      </c>
      <c r="P65" s="2"/>
      <c r="Q65" s="2"/>
      <c r="R65" s="2"/>
      <c r="S65" s="2"/>
      <c r="T65" s="2"/>
      <c r="U65" s="2"/>
      <c r="V65" s="2"/>
      <c r="W65" s="2" t="s">
        <v>360</v>
      </c>
      <c r="X65" s="2"/>
      <c r="Y65" s="2" t="s">
        <v>342</v>
      </c>
      <c r="Z65" s="2"/>
      <c r="AA65" s="2"/>
      <c r="AB65" s="2"/>
      <c r="AC65" s="2" t="s">
        <v>693</v>
      </c>
      <c r="AD65" s="6" t="b">
        <v>0</v>
      </c>
      <c r="AE65" s="6" t="b">
        <v>0</v>
      </c>
      <c r="AF65" s="2" t="s">
        <v>362</v>
      </c>
    </row>
    <row r="66" spans="1:32" ht="43.05" customHeight="1">
      <c r="A66" s="2" t="s">
        <v>688</v>
      </c>
      <c r="B66" s="2" t="s">
        <v>689</v>
      </c>
      <c r="C66" s="2" t="s">
        <v>690</v>
      </c>
      <c r="D66" s="2" t="s">
        <v>363</v>
      </c>
      <c r="E66" s="2" t="s">
        <v>700</v>
      </c>
      <c r="F66" s="2" t="s">
        <v>210</v>
      </c>
      <c r="G66" s="2" t="s">
        <v>28</v>
      </c>
      <c r="H66" s="2" t="s">
        <v>364</v>
      </c>
      <c r="I66" s="2" t="s">
        <v>359</v>
      </c>
      <c r="J66" s="2" t="s">
        <v>30</v>
      </c>
      <c r="K66" s="2" t="s">
        <v>707</v>
      </c>
      <c r="L66" s="2">
        <v>12</v>
      </c>
      <c r="M66" s="2">
        <v>24</v>
      </c>
      <c r="N66" s="3"/>
      <c r="O66" s="2" t="s">
        <v>366</v>
      </c>
      <c r="P66" s="2"/>
      <c r="Q66" s="2"/>
      <c r="R66" s="2"/>
      <c r="S66" s="2"/>
      <c r="T66" s="2"/>
      <c r="U66" s="2"/>
      <c r="V66" s="2"/>
      <c r="W66" s="2" t="s">
        <v>365</v>
      </c>
      <c r="X66" s="2" t="s">
        <v>367</v>
      </c>
      <c r="Y66" s="2" t="s">
        <v>342</v>
      </c>
      <c r="Z66" s="2"/>
      <c r="AA66" s="2"/>
      <c r="AB66" s="2"/>
      <c r="AC66" s="2" t="s">
        <v>693</v>
      </c>
      <c r="AD66" s="6" t="b">
        <v>0</v>
      </c>
      <c r="AE66" s="6" t="b">
        <v>0</v>
      </c>
      <c r="AF66" s="2" t="s">
        <v>368</v>
      </c>
    </row>
    <row r="67" spans="1:32" ht="43.05" customHeight="1">
      <c r="A67" s="2" t="s">
        <v>688</v>
      </c>
      <c r="B67" s="2" t="s">
        <v>689</v>
      </c>
      <c r="C67" s="2" t="s">
        <v>690</v>
      </c>
      <c r="D67" s="2" t="s">
        <v>369</v>
      </c>
      <c r="E67" s="2" t="s">
        <v>700</v>
      </c>
      <c r="F67" s="2" t="s">
        <v>210</v>
      </c>
      <c r="G67" s="2" t="s">
        <v>28</v>
      </c>
      <c r="H67" s="2" t="s">
        <v>370</v>
      </c>
      <c r="I67" s="2" t="s">
        <v>359</v>
      </c>
      <c r="J67" s="2" t="s">
        <v>30</v>
      </c>
      <c r="K67" s="2" t="s">
        <v>697</v>
      </c>
      <c r="L67" s="2">
        <v>50</v>
      </c>
      <c r="M67" s="2"/>
      <c r="N67" s="3"/>
      <c r="O67" s="2" t="s">
        <v>315</v>
      </c>
      <c r="P67" s="2"/>
      <c r="Q67" s="2"/>
      <c r="R67" s="2"/>
      <c r="S67" s="2"/>
      <c r="T67" s="2"/>
      <c r="U67" s="2"/>
      <c r="V67" s="2"/>
      <c r="W67" s="2" t="s">
        <v>371</v>
      </c>
      <c r="X67" s="2"/>
      <c r="Y67" s="2" t="s">
        <v>342</v>
      </c>
      <c r="Z67" s="2"/>
      <c r="AA67" s="2"/>
      <c r="AB67" s="2"/>
      <c r="AC67" s="2" t="s">
        <v>693</v>
      </c>
      <c r="AD67" s="6" t="b">
        <v>0</v>
      </c>
      <c r="AE67" s="6" t="b">
        <v>0</v>
      </c>
      <c r="AF67" s="2" t="s">
        <v>372</v>
      </c>
    </row>
    <row r="68" spans="1:32" ht="43.05" customHeight="1">
      <c r="A68" s="2" t="s">
        <v>688</v>
      </c>
      <c r="B68" s="2" t="s">
        <v>689</v>
      </c>
      <c r="C68" s="2" t="s">
        <v>690</v>
      </c>
      <c r="D68" s="2" t="s">
        <v>373</v>
      </c>
      <c r="E68" s="2" t="s">
        <v>705</v>
      </c>
      <c r="F68" s="2" t="s">
        <v>374</v>
      </c>
      <c r="G68" s="2" t="s">
        <v>125</v>
      </c>
      <c r="H68" s="2" t="s">
        <v>375</v>
      </c>
      <c r="I68" s="2" t="s">
        <v>104</v>
      </c>
      <c r="J68" s="2" t="s">
        <v>98</v>
      </c>
      <c r="K68" s="2" t="s">
        <v>698</v>
      </c>
      <c r="L68" s="2"/>
      <c r="M68" s="2"/>
      <c r="N68" s="3"/>
      <c r="O68" s="2"/>
      <c r="P68" s="2"/>
      <c r="Q68" s="2"/>
      <c r="R68" s="2"/>
      <c r="S68" s="2"/>
      <c r="T68" s="2"/>
      <c r="U68" s="2"/>
      <c r="V68" s="2"/>
      <c r="W68" s="2" t="s">
        <v>88</v>
      </c>
      <c r="X68" s="2" t="s">
        <v>376</v>
      </c>
      <c r="Y68" s="2" t="s">
        <v>342</v>
      </c>
      <c r="Z68" s="2"/>
      <c r="AA68" s="2"/>
      <c r="AB68" s="2"/>
      <c r="AC68" s="2" t="s">
        <v>693</v>
      </c>
      <c r="AD68" s="6" t="b">
        <v>0</v>
      </c>
      <c r="AE68" s="6" t="b">
        <v>0</v>
      </c>
      <c r="AF68" s="2" t="s">
        <v>377</v>
      </c>
    </row>
    <row r="69" spans="1:32" ht="43.05" customHeight="1">
      <c r="A69" s="2" t="s">
        <v>688</v>
      </c>
      <c r="B69" s="2" t="s">
        <v>689</v>
      </c>
      <c r="C69" s="2" t="s">
        <v>690</v>
      </c>
      <c r="D69" s="2" t="s">
        <v>378</v>
      </c>
      <c r="E69" s="2" t="s">
        <v>705</v>
      </c>
      <c r="F69" s="2" t="s">
        <v>374</v>
      </c>
      <c r="G69" s="2" t="s">
        <v>125</v>
      </c>
      <c r="H69" s="2" t="s">
        <v>379</v>
      </c>
      <c r="I69" s="2" t="s">
        <v>104</v>
      </c>
      <c r="J69" s="2" t="s">
        <v>98</v>
      </c>
      <c r="K69" s="2" t="s">
        <v>698</v>
      </c>
      <c r="L69" s="2"/>
      <c r="M69" s="2"/>
      <c r="N69" s="3"/>
      <c r="O69" s="2"/>
      <c r="P69" s="2"/>
      <c r="Q69" s="2"/>
      <c r="R69" s="2"/>
      <c r="S69" s="2"/>
      <c r="T69" s="2"/>
      <c r="U69" s="2"/>
      <c r="V69" s="2"/>
      <c r="W69" s="2" t="s">
        <v>88</v>
      </c>
      <c r="X69" s="2" t="s">
        <v>380</v>
      </c>
      <c r="Y69" s="2" t="s">
        <v>342</v>
      </c>
      <c r="Z69" s="2"/>
      <c r="AA69" s="2"/>
      <c r="AB69" s="2"/>
      <c r="AC69" s="2" t="s">
        <v>693</v>
      </c>
      <c r="AD69" s="6" t="b">
        <v>0</v>
      </c>
      <c r="AE69" s="6" t="b">
        <v>0</v>
      </c>
      <c r="AF69" s="2" t="s">
        <v>381</v>
      </c>
    </row>
    <row r="70" spans="1:32" ht="43.05" customHeight="1">
      <c r="A70" s="2" t="s">
        <v>688</v>
      </c>
      <c r="B70" s="2" t="s">
        <v>689</v>
      </c>
      <c r="C70" s="2" t="s">
        <v>690</v>
      </c>
      <c r="D70" s="2" t="s">
        <v>382</v>
      </c>
      <c r="E70" s="2" t="s">
        <v>705</v>
      </c>
      <c r="F70" s="2" t="s">
        <v>383</v>
      </c>
      <c r="G70" s="2" t="s">
        <v>125</v>
      </c>
      <c r="H70" s="2" t="s">
        <v>384</v>
      </c>
      <c r="I70" s="2" t="s">
        <v>383</v>
      </c>
      <c r="J70" s="2" t="s">
        <v>30</v>
      </c>
      <c r="K70" s="2" t="s">
        <v>697</v>
      </c>
      <c r="L70" s="2">
        <v>30</v>
      </c>
      <c r="M70" s="2"/>
      <c r="N70" s="3"/>
      <c r="O70" s="2" t="s">
        <v>385</v>
      </c>
      <c r="P70" s="2"/>
      <c r="Q70" s="2"/>
      <c r="R70" s="2"/>
      <c r="S70" s="2"/>
      <c r="T70" s="2"/>
      <c r="U70" s="2"/>
      <c r="V70" s="2"/>
      <c r="W70" s="2" t="s">
        <v>76</v>
      </c>
      <c r="X70" s="2" t="s">
        <v>386</v>
      </c>
      <c r="Y70" s="2" t="s">
        <v>342</v>
      </c>
      <c r="Z70" s="2"/>
      <c r="AA70" s="2"/>
      <c r="AB70" s="2"/>
      <c r="AC70" s="2" t="s">
        <v>693</v>
      </c>
      <c r="AD70" s="6" t="b">
        <v>0</v>
      </c>
      <c r="AE70" s="6" t="b">
        <v>0</v>
      </c>
      <c r="AF70" s="2" t="s">
        <v>387</v>
      </c>
    </row>
    <row r="71" spans="1:32" ht="43.05" customHeight="1">
      <c r="A71" s="2" t="s">
        <v>688</v>
      </c>
      <c r="B71" s="2" t="s">
        <v>689</v>
      </c>
      <c r="C71" s="2" t="s">
        <v>690</v>
      </c>
      <c r="D71" s="2" t="s">
        <v>388</v>
      </c>
      <c r="E71" s="2" t="s">
        <v>705</v>
      </c>
      <c r="F71" s="2" t="s">
        <v>383</v>
      </c>
      <c r="G71" s="2" t="s">
        <v>125</v>
      </c>
      <c r="H71" s="2" t="s">
        <v>389</v>
      </c>
      <c r="I71" s="2" t="s">
        <v>383</v>
      </c>
      <c r="J71" s="2" t="s">
        <v>30</v>
      </c>
      <c r="K71" s="2" t="s">
        <v>697</v>
      </c>
      <c r="L71" s="2">
        <v>55</v>
      </c>
      <c r="M71" s="2"/>
      <c r="N71" s="3"/>
      <c r="O71" s="2" t="s">
        <v>385</v>
      </c>
      <c r="P71" s="2"/>
      <c r="Q71" s="2"/>
      <c r="R71" s="2"/>
      <c r="S71" s="2"/>
      <c r="T71" s="2"/>
      <c r="U71" s="2"/>
      <c r="V71" s="2"/>
      <c r="W71" s="2" t="s">
        <v>390</v>
      </c>
      <c r="X71" s="2" t="s">
        <v>386</v>
      </c>
      <c r="Y71" s="2" t="s">
        <v>342</v>
      </c>
      <c r="Z71" s="2"/>
      <c r="AA71" s="2"/>
      <c r="AB71" s="2"/>
      <c r="AC71" s="2" t="s">
        <v>693</v>
      </c>
      <c r="AD71" s="6" t="b">
        <v>0</v>
      </c>
      <c r="AE71" s="6" t="b">
        <v>0</v>
      </c>
      <c r="AF71" s="2" t="s">
        <v>387</v>
      </c>
    </row>
    <row r="72" spans="1:32" ht="43.05" customHeight="1">
      <c r="A72" s="2" t="s">
        <v>688</v>
      </c>
      <c r="B72" s="2" t="s">
        <v>689</v>
      </c>
      <c r="C72" s="2" t="s">
        <v>690</v>
      </c>
      <c r="D72" s="2" t="s">
        <v>391</v>
      </c>
      <c r="E72" s="2" t="s">
        <v>705</v>
      </c>
      <c r="F72" s="2" t="s">
        <v>383</v>
      </c>
      <c r="G72" s="2" t="s">
        <v>125</v>
      </c>
      <c r="H72" s="2" t="s">
        <v>392</v>
      </c>
      <c r="I72" s="2" t="s">
        <v>383</v>
      </c>
      <c r="J72" s="2" t="s">
        <v>30</v>
      </c>
      <c r="K72" s="2" t="s">
        <v>697</v>
      </c>
      <c r="L72" s="2">
        <v>2000</v>
      </c>
      <c r="M72" s="2"/>
      <c r="N72" s="3"/>
      <c r="O72" s="2" t="s">
        <v>340</v>
      </c>
      <c r="P72" s="2"/>
      <c r="Q72" s="2"/>
      <c r="R72" s="2"/>
      <c r="S72" s="2"/>
      <c r="T72" s="2"/>
      <c r="U72" s="2"/>
      <c r="V72" s="2"/>
      <c r="W72" s="2" t="s">
        <v>393</v>
      </c>
      <c r="X72" s="2" t="s">
        <v>394</v>
      </c>
      <c r="Y72" s="2" t="s">
        <v>342</v>
      </c>
      <c r="Z72" s="2"/>
      <c r="AA72" s="2"/>
      <c r="AB72" s="2"/>
      <c r="AC72" s="2" t="s">
        <v>693</v>
      </c>
      <c r="AD72" s="6" t="b">
        <v>0</v>
      </c>
      <c r="AE72" s="6" t="b">
        <v>0</v>
      </c>
      <c r="AF72" s="2" t="s">
        <v>694</v>
      </c>
    </row>
    <row r="73" spans="1:32" ht="43.05" customHeight="1">
      <c r="A73" s="2" t="s">
        <v>688</v>
      </c>
      <c r="B73" s="2" t="s">
        <v>689</v>
      </c>
      <c r="C73" s="2" t="s">
        <v>690</v>
      </c>
      <c r="D73" s="2" t="s">
        <v>395</v>
      </c>
      <c r="E73" s="2" t="s">
        <v>705</v>
      </c>
      <c r="F73" s="2" t="s">
        <v>396</v>
      </c>
      <c r="G73" s="2" t="s">
        <v>125</v>
      </c>
      <c r="H73" s="2" t="s">
        <v>397</v>
      </c>
      <c r="I73" s="2" t="s">
        <v>398</v>
      </c>
      <c r="J73" s="2" t="s">
        <v>30</v>
      </c>
      <c r="K73" s="2" t="s">
        <v>695</v>
      </c>
      <c r="L73" s="2"/>
      <c r="M73" s="2"/>
      <c r="N73" s="3"/>
      <c r="O73" s="2"/>
      <c r="P73" s="2"/>
      <c r="Q73" s="2"/>
      <c r="R73" s="2"/>
      <c r="S73" s="2"/>
      <c r="T73" s="2"/>
      <c r="U73" s="2"/>
      <c r="V73" s="2"/>
      <c r="W73" s="2" t="s">
        <v>399</v>
      </c>
      <c r="X73" s="2" t="s">
        <v>400</v>
      </c>
      <c r="Y73" s="2" t="s">
        <v>342</v>
      </c>
      <c r="Z73" s="2"/>
      <c r="AA73" s="2"/>
      <c r="AB73" s="2"/>
      <c r="AC73" s="2" t="s">
        <v>693</v>
      </c>
      <c r="AD73" s="6" t="b">
        <v>0</v>
      </c>
      <c r="AE73" s="6" t="b">
        <v>0</v>
      </c>
      <c r="AF73" s="2" t="s">
        <v>401</v>
      </c>
    </row>
    <row r="74" spans="1:32" ht="43.05" customHeight="1">
      <c r="A74" s="2" t="s">
        <v>688</v>
      </c>
      <c r="B74" s="2" t="s">
        <v>689</v>
      </c>
      <c r="C74" s="2" t="s">
        <v>690</v>
      </c>
      <c r="D74" s="2" t="s">
        <v>402</v>
      </c>
      <c r="E74" s="2" t="s">
        <v>705</v>
      </c>
      <c r="F74" s="2" t="s">
        <v>403</v>
      </c>
      <c r="G74" s="2" t="s">
        <v>125</v>
      </c>
      <c r="H74" s="2" t="s">
        <v>404</v>
      </c>
      <c r="I74" s="2" t="s">
        <v>405</v>
      </c>
      <c r="J74" s="2" t="s">
        <v>30</v>
      </c>
      <c r="K74" s="2" t="s">
        <v>695</v>
      </c>
      <c r="L74" s="2"/>
      <c r="M74" s="2"/>
      <c r="N74" s="3"/>
      <c r="O74" s="2"/>
      <c r="P74" s="2"/>
      <c r="Q74" s="2"/>
      <c r="R74" s="2"/>
      <c r="S74" s="2"/>
      <c r="T74" s="2"/>
      <c r="U74" s="2"/>
      <c r="V74" s="2"/>
      <c r="W74" s="2" t="s">
        <v>88</v>
      </c>
      <c r="X74" s="2" t="s">
        <v>406</v>
      </c>
      <c r="Y74" s="2" t="s">
        <v>342</v>
      </c>
      <c r="Z74" s="2"/>
      <c r="AA74" s="2"/>
      <c r="AB74" s="2"/>
      <c r="AC74" s="2" t="s">
        <v>693</v>
      </c>
      <c r="AD74" s="6" t="b">
        <v>0</v>
      </c>
      <c r="AE74" s="6" t="b">
        <v>0</v>
      </c>
      <c r="AF74" s="2" t="s">
        <v>407</v>
      </c>
    </row>
    <row r="75" spans="1:32" ht="43.05" customHeight="1">
      <c r="A75" s="2" t="s">
        <v>688</v>
      </c>
      <c r="B75" s="2" t="s">
        <v>689</v>
      </c>
      <c r="C75" s="2" t="s">
        <v>690</v>
      </c>
      <c r="D75" s="2" t="s">
        <v>408</v>
      </c>
      <c r="E75" s="2" t="s">
        <v>705</v>
      </c>
      <c r="F75" s="2" t="s">
        <v>409</v>
      </c>
      <c r="G75" s="2" t="s">
        <v>125</v>
      </c>
      <c r="H75" s="2" t="s">
        <v>410</v>
      </c>
      <c r="I75" s="2" t="s">
        <v>104</v>
      </c>
      <c r="J75" s="2" t="s">
        <v>30</v>
      </c>
      <c r="K75" s="2" t="s">
        <v>695</v>
      </c>
      <c r="L75" s="2"/>
      <c r="M75" s="2"/>
      <c r="N75" s="3"/>
      <c r="O75" s="2"/>
      <c r="P75" s="2"/>
      <c r="Q75" s="2"/>
      <c r="R75" s="2"/>
      <c r="S75" s="2"/>
      <c r="T75" s="2"/>
      <c r="U75" s="2"/>
      <c r="V75" s="2"/>
      <c r="W75" s="2" t="s">
        <v>88</v>
      </c>
      <c r="X75" s="2" t="s">
        <v>411</v>
      </c>
      <c r="Y75" s="2" t="s">
        <v>342</v>
      </c>
      <c r="Z75" s="2"/>
      <c r="AA75" s="2"/>
      <c r="AB75" s="2"/>
      <c r="AC75" s="2" t="s">
        <v>693</v>
      </c>
      <c r="AD75" s="6" t="b">
        <v>0</v>
      </c>
      <c r="AE75" s="6" t="b">
        <v>0</v>
      </c>
      <c r="AF75" s="2" t="s">
        <v>412</v>
      </c>
    </row>
    <row r="76" spans="1:32" ht="43.05" customHeight="1">
      <c r="A76" s="2" t="s">
        <v>688</v>
      </c>
      <c r="B76" s="2" t="s">
        <v>689</v>
      </c>
      <c r="C76" s="2" t="s">
        <v>690</v>
      </c>
      <c r="D76" s="2" t="s">
        <v>413</v>
      </c>
      <c r="E76" s="2" t="s">
        <v>705</v>
      </c>
      <c r="F76" s="2" t="s">
        <v>414</v>
      </c>
      <c r="G76" s="2" t="s">
        <v>125</v>
      </c>
      <c r="H76" s="2" t="s">
        <v>415</v>
      </c>
      <c r="I76" s="2" t="s">
        <v>416</v>
      </c>
      <c r="J76" s="2" t="s">
        <v>30</v>
      </c>
      <c r="K76" s="2" t="s">
        <v>695</v>
      </c>
      <c r="L76" s="2"/>
      <c r="M76" s="2"/>
      <c r="N76" s="3"/>
      <c r="O76" s="2" t="s">
        <v>315</v>
      </c>
      <c r="P76" s="2"/>
      <c r="Q76" s="2"/>
      <c r="R76" s="2"/>
      <c r="S76" s="2"/>
      <c r="T76" s="2"/>
      <c r="U76" s="2"/>
      <c r="V76" s="2"/>
      <c r="W76" s="2" t="s">
        <v>417</v>
      </c>
      <c r="X76" s="2" t="s">
        <v>418</v>
      </c>
      <c r="Y76" s="2" t="s">
        <v>342</v>
      </c>
      <c r="Z76" s="2"/>
      <c r="AA76" s="2"/>
      <c r="AB76" s="2"/>
      <c r="AC76" s="2" t="s">
        <v>693</v>
      </c>
      <c r="AD76" s="6" t="b">
        <v>0</v>
      </c>
      <c r="AE76" s="6" t="b">
        <v>0</v>
      </c>
      <c r="AF76" s="2" t="s">
        <v>419</v>
      </c>
    </row>
    <row r="77" spans="1:32" ht="43.05" customHeight="1">
      <c r="A77" s="2" t="s">
        <v>688</v>
      </c>
      <c r="B77" s="2" t="s">
        <v>689</v>
      </c>
      <c r="C77" s="2" t="s">
        <v>690</v>
      </c>
      <c r="D77" s="2" t="s">
        <v>420</v>
      </c>
      <c r="E77" s="2" t="s">
        <v>705</v>
      </c>
      <c r="F77" s="2" t="s">
        <v>157</v>
      </c>
      <c r="G77" s="2" t="s">
        <v>125</v>
      </c>
      <c r="H77" s="2" t="s">
        <v>421</v>
      </c>
      <c r="I77" s="2" t="s">
        <v>422</v>
      </c>
      <c r="J77" s="2" t="s">
        <v>230</v>
      </c>
      <c r="K77" s="2" t="s">
        <v>698</v>
      </c>
      <c r="L77" s="2"/>
      <c r="M77" s="2"/>
      <c r="N77" s="3"/>
      <c r="O77" s="2"/>
      <c r="P77" s="2"/>
      <c r="Q77" s="2"/>
      <c r="R77" s="2"/>
      <c r="S77" s="2"/>
      <c r="T77" s="2">
        <v>12</v>
      </c>
      <c r="U77" s="2"/>
      <c r="V77" s="2"/>
      <c r="W77" s="2" t="s">
        <v>423</v>
      </c>
      <c r="X77" s="2" t="s">
        <v>424</v>
      </c>
      <c r="Y77" s="2" t="s">
        <v>342</v>
      </c>
      <c r="Z77" s="2"/>
      <c r="AA77" s="2"/>
      <c r="AB77" s="2"/>
      <c r="AC77" s="2" t="s">
        <v>693</v>
      </c>
      <c r="AD77" s="6" t="b">
        <v>0</v>
      </c>
      <c r="AE77" s="6" t="b">
        <v>0</v>
      </c>
      <c r="AF77" s="2" t="s">
        <v>475</v>
      </c>
    </row>
    <row r="78" spans="1:32" ht="43.05" customHeight="1">
      <c r="A78" s="2" t="s">
        <v>688</v>
      </c>
      <c r="B78" s="2" t="s">
        <v>689</v>
      </c>
      <c r="C78" s="2" t="s">
        <v>690</v>
      </c>
      <c r="D78" s="2" t="s">
        <v>425</v>
      </c>
      <c r="E78" s="2" t="s">
        <v>705</v>
      </c>
      <c r="F78" s="2" t="s">
        <v>157</v>
      </c>
      <c r="G78" s="2" t="s">
        <v>125</v>
      </c>
      <c r="H78" s="2" t="s">
        <v>426</v>
      </c>
      <c r="I78" s="2" t="s">
        <v>427</v>
      </c>
      <c r="J78" s="2" t="s">
        <v>230</v>
      </c>
      <c r="K78" s="2" t="s">
        <v>698</v>
      </c>
      <c r="L78" s="2"/>
      <c r="M78" s="2"/>
      <c r="N78" s="3"/>
      <c r="O78" s="2"/>
      <c r="P78" s="2"/>
      <c r="Q78" s="2"/>
      <c r="R78" s="2"/>
      <c r="S78" s="2"/>
      <c r="T78" s="2">
        <v>6</v>
      </c>
      <c r="U78" s="2"/>
      <c r="V78" s="2"/>
      <c r="W78" s="2" t="s">
        <v>428</v>
      </c>
      <c r="X78" s="2" t="s">
        <v>424</v>
      </c>
      <c r="Y78" s="2" t="s">
        <v>342</v>
      </c>
      <c r="Z78" s="2"/>
      <c r="AA78" s="2"/>
      <c r="AB78" s="2"/>
      <c r="AC78" s="2" t="s">
        <v>693</v>
      </c>
      <c r="AD78" s="6" t="b">
        <v>0</v>
      </c>
      <c r="AE78" s="6" t="b">
        <v>0</v>
      </c>
      <c r="AF78" s="2" t="s">
        <v>429</v>
      </c>
    </row>
    <row r="79" spans="1:32" ht="43.05" customHeight="1">
      <c r="A79" s="2" t="s">
        <v>688</v>
      </c>
      <c r="B79" s="2" t="s">
        <v>689</v>
      </c>
      <c r="C79" s="2" t="s">
        <v>690</v>
      </c>
      <c r="D79" s="2" t="s">
        <v>430</v>
      </c>
      <c r="E79" s="2" t="s">
        <v>705</v>
      </c>
      <c r="F79" s="2" t="s">
        <v>431</v>
      </c>
      <c r="G79" s="2" t="s">
        <v>125</v>
      </c>
      <c r="H79" s="2" t="s">
        <v>432</v>
      </c>
      <c r="I79" s="2" t="s">
        <v>433</v>
      </c>
      <c r="J79" s="2" t="s">
        <v>30</v>
      </c>
      <c r="K79" s="2" t="s">
        <v>692</v>
      </c>
      <c r="L79" s="2">
        <v>0</v>
      </c>
      <c r="M79" s="2"/>
      <c r="N79" s="3"/>
      <c r="O79" s="2" t="s">
        <v>434</v>
      </c>
      <c r="P79" s="2"/>
      <c r="Q79" s="2"/>
      <c r="R79" s="2"/>
      <c r="S79" s="2"/>
      <c r="T79" s="2"/>
      <c r="U79" s="2"/>
      <c r="V79" s="2"/>
      <c r="W79" s="2" t="s">
        <v>31</v>
      </c>
      <c r="X79" s="2" t="s">
        <v>435</v>
      </c>
      <c r="Y79" s="2" t="s">
        <v>342</v>
      </c>
      <c r="Z79" s="2"/>
      <c r="AA79" s="2"/>
      <c r="AB79" s="2"/>
      <c r="AC79" s="2" t="s">
        <v>693</v>
      </c>
      <c r="AD79" s="6" t="b">
        <v>0</v>
      </c>
      <c r="AE79" s="6" t="b">
        <v>0</v>
      </c>
      <c r="AF79" s="2" t="s">
        <v>694</v>
      </c>
    </row>
  </sheetData>
  <mergeCells count="2">
    <mergeCell ref="A1:AF1"/>
    <mergeCell ref="A2:AF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 activeCell="A8" sqref="A8"/>
    </sheetView>
  </sheetViews>
  <sheetFormatPr baseColWidth="10" defaultColWidth="8.796875" defaultRowHeight="13.8"/>
  <cols>
    <col min="1" max="1" width="15" customWidth="1"/>
    <col min="2" max="2" width="24" customWidth="1"/>
    <col min="3" max="3" width="47" customWidth="1"/>
    <col min="4" max="4" width="36" customWidth="1"/>
    <col min="5" max="5" width="24" customWidth="1"/>
    <col min="6" max="6" width="23" customWidth="1"/>
    <col min="7" max="7" width="27" customWidth="1"/>
    <col min="8" max="8" width="24" customWidth="1"/>
    <col min="9" max="9" width="22" customWidth="1"/>
    <col min="10" max="10" width="81" customWidth="1"/>
  </cols>
  <sheetData>
    <row r="1" spans="1:10" ht="31.95" customHeight="1">
      <c r="A1" s="9" t="s">
        <v>708</v>
      </c>
      <c r="B1" s="9"/>
      <c r="C1" s="9"/>
      <c r="D1" s="9"/>
      <c r="E1" s="9"/>
      <c r="F1" s="9"/>
      <c r="G1" s="9"/>
      <c r="H1" s="9"/>
      <c r="I1" s="9"/>
      <c r="J1" s="9"/>
    </row>
    <row r="2" spans="1:10" ht="42" customHeight="1">
      <c r="A2" s="10" t="s">
        <v>709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7.049999999999997" customHeight="1">
      <c r="A4" s="1" t="s">
        <v>710</v>
      </c>
      <c r="B4" s="1" t="s">
        <v>6</v>
      </c>
      <c r="C4" s="1" t="s">
        <v>711</v>
      </c>
      <c r="D4" s="1" t="s">
        <v>712</v>
      </c>
      <c r="E4" s="1" t="s">
        <v>713</v>
      </c>
      <c r="F4" s="1" t="s">
        <v>714</v>
      </c>
      <c r="G4" s="1" t="s">
        <v>715</v>
      </c>
      <c r="H4" s="1" t="s">
        <v>20</v>
      </c>
      <c r="I4" s="1" t="s">
        <v>716</v>
      </c>
      <c r="J4" s="1" t="s">
        <v>717</v>
      </c>
    </row>
    <row r="5" spans="1:10" ht="52.95" customHeight="1">
      <c r="A5" s="2" t="s">
        <v>37</v>
      </c>
      <c r="B5" s="2" t="s">
        <v>28</v>
      </c>
      <c r="C5" s="2" t="s">
        <v>718</v>
      </c>
      <c r="D5" s="2" t="s">
        <v>31</v>
      </c>
      <c r="E5" s="4">
        <v>0</v>
      </c>
      <c r="F5" s="4">
        <v>1</v>
      </c>
      <c r="G5" s="4">
        <f t="shared" ref="G5:G17" si="0">IF(F5="","",E5*F5)</f>
        <v>0</v>
      </c>
      <c r="H5" s="2" t="s">
        <v>34</v>
      </c>
      <c r="I5" s="2" t="s">
        <v>719</v>
      </c>
      <c r="J5" s="2" t="s">
        <v>720</v>
      </c>
    </row>
    <row r="6" spans="1:10" ht="52.95" customHeight="1">
      <c r="A6" s="2" t="s">
        <v>77</v>
      </c>
      <c r="B6" s="2" t="s">
        <v>28</v>
      </c>
      <c r="C6" s="2" t="s">
        <v>721</v>
      </c>
      <c r="D6" s="2" t="s">
        <v>81</v>
      </c>
      <c r="E6" s="4">
        <v>350</v>
      </c>
      <c r="F6" s="4">
        <v>0.5</v>
      </c>
      <c r="G6" s="4">
        <f t="shared" si="0"/>
        <v>175</v>
      </c>
      <c r="H6" s="2" t="s">
        <v>34</v>
      </c>
      <c r="I6" s="2" t="s">
        <v>719</v>
      </c>
      <c r="J6" s="2" t="s">
        <v>722</v>
      </c>
    </row>
    <row r="7" spans="1:10" ht="52.95" customHeight="1">
      <c r="A7" s="2" t="s">
        <v>161</v>
      </c>
      <c r="B7" s="2" t="s">
        <v>28</v>
      </c>
      <c r="C7" s="2" t="s">
        <v>163</v>
      </c>
      <c r="D7" s="2" t="s">
        <v>76</v>
      </c>
      <c r="E7" s="4">
        <v>30</v>
      </c>
      <c r="F7" s="4"/>
      <c r="G7" s="4" t="str">
        <f t="shared" si="0"/>
        <v/>
      </c>
      <c r="H7" s="2" t="s">
        <v>34</v>
      </c>
      <c r="I7" s="2" t="s">
        <v>719</v>
      </c>
      <c r="J7" s="2" t="s">
        <v>723</v>
      </c>
    </row>
    <row r="8" spans="1:10" ht="52.95" customHeight="1">
      <c r="A8" s="2" t="s">
        <v>167</v>
      </c>
      <c r="B8" s="2" t="s">
        <v>28</v>
      </c>
      <c r="C8" s="2" t="s">
        <v>724</v>
      </c>
      <c r="D8" s="2" t="s">
        <v>170</v>
      </c>
      <c r="E8" s="4">
        <v>35</v>
      </c>
      <c r="F8" s="4"/>
      <c r="G8" s="4" t="str">
        <f t="shared" si="0"/>
        <v/>
      </c>
      <c r="H8" s="2" t="s">
        <v>34</v>
      </c>
      <c r="I8" s="2" t="s">
        <v>719</v>
      </c>
      <c r="J8" s="2" t="s">
        <v>725</v>
      </c>
    </row>
    <row r="9" spans="1:10" ht="52.95" customHeight="1">
      <c r="A9" s="2" t="s">
        <v>311</v>
      </c>
      <c r="B9" s="2" t="s">
        <v>307</v>
      </c>
      <c r="C9" s="2" t="s">
        <v>726</v>
      </c>
      <c r="D9" s="2" t="s">
        <v>314</v>
      </c>
      <c r="E9" s="4">
        <v>800</v>
      </c>
      <c r="F9" s="4">
        <v>12</v>
      </c>
      <c r="G9" s="4">
        <f t="shared" si="0"/>
        <v>9600</v>
      </c>
      <c r="H9" s="2" t="s">
        <v>307</v>
      </c>
      <c r="I9" s="2" t="s">
        <v>719</v>
      </c>
      <c r="J9" s="2" t="s">
        <v>727</v>
      </c>
    </row>
    <row r="10" spans="1:10" ht="52.95" customHeight="1">
      <c r="A10" s="2" t="s">
        <v>318</v>
      </c>
      <c r="B10" s="2" t="s">
        <v>307</v>
      </c>
      <c r="C10" s="2" t="s">
        <v>728</v>
      </c>
      <c r="D10" s="2" t="s">
        <v>321</v>
      </c>
      <c r="E10" s="4"/>
      <c r="F10" s="4"/>
      <c r="G10" s="4" t="str">
        <f t="shared" si="0"/>
        <v/>
      </c>
      <c r="H10" s="2" t="s">
        <v>307</v>
      </c>
      <c r="I10" s="2" t="s">
        <v>719</v>
      </c>
      <c r="J10" s="2" t="s">
        <v>729</v>
      </c>
    </row>
    <row r="11" spans="1:10" ht="52.95" customHeight="1">
      <c r="A11" s="2" t="s">
        <v>335</v>
      </c>
      <c r="B11" s="2" t="s">
        <v>28</v>
      </c>
      <c r="C11" s="2" t="s">
        <v>730</v>
      </c>
      <c r="D11" s="2" t="s">
        <v>339</v>
      </c>
      <c r="E11" s="4">
        <v>1000</v>
      </c>
      <c r="F11" s="4">
        <v>1</v>
      </c>
      <c r="G11" s="4">
        <f t="shared" si="0"/>
        <v>1000</v>
      </c>
      <c r="H11" s="2" t="s">
        <v>34</v>
      </c>
      <c r="I11" s="2" t="s">
        <v>719</v>
      </c>
      <c r="J11" s="2" t="s">
        <v>731</v>
      </c>
    </row>
    <row r="12" spans="1:10" ht="52.95" customHeight="1">
      <c r="A12" s="2" t="s">
        <v>343</v>
      </c>
      <c r="B12" s="2" t="s">
        <v>732</v>
      </c>
      <c r="C12" s="2" t="s">
        <v>733</v>
      </c>
      <c r="D12" s="2" t="s">
        <v>345</v>
      </c>
      <c r="E12" s="4">
        <v>4200</v>
      </c>
      <c r="F12" s="4">
        <v>1</v>
      </c>
      <c r="G12" s="4">
        <f t="shared" si="0"/>
        <v>4200</v>
      </c>
      <c r="H12" s="2" t="s">
        <v>34</v>
      </c>
      <c r="I12" s="2" t="s">
        <v>719</v>
      </c>
      <c r="J12" s="2" t="s">
        <v>731</v>
      </c>
    </row>
    <row r="13" spans="1:10" ht="52.95" customHeight="1">
      <c r="A13" s="2" t="s">
        <v>357</v>
      </c>
      <c r="B13" s="2" t="s">
        <v>28</v>
      </c>
      <c r="C13" s="2" t="s">
        <v>734</v>
      </c>
      <c r="D13" s="2" t="s">
        <v>360</v>
      </c>
      <c r="E13" s="4">
        <v>50</v>
      </c>
      <c r="F13" s="4"/>
      <c r="G13" s="4" t="str">
        <f t="shared" si="0"/>
        <v/>
      </c>
      <c r="H13" s="2" t="s">
        <v>34</v>
      </c>
      <c r="I13" s="2" t="s">
        <v>719</v>
      </c>
      <c r="J13" s="2" t="s">
        <v>735</v>
      </c>
    </row>
    <row r="14" spans="1:10" ht="52.95" customHeight="1">
      <c r="A14" s="2" t="s">
        <v>363</v>
      </c>
      <c r="B14" s="2" t="s">
        <v>28</v>
      </c>
      <c r="C14" s="2" t="s">
        <v>736</v>
      </c>
      <c r="D14" s="2" t="s">
        <v>365</v>
      </c>
      <c r="E14" s="4">
        <v>12</v>
      </c>
      <c r="F14" s="4"/>
      <c r="G14" s="4" t="str">
        <f t="shared" si="0"/>
        <v/>
      </c>
      <c r="H14" s="2" t="s">
        <v>34</v>
      </c>
      <c r="I14" s="2" t="s">
        <v>719</v>
      </c>
      <c r="J14" s="2" t="s">
        <v>737</v>
      </c>
    </row>
    <row r="15" spans="1:10" ht="52.95" customHeight="1">
      <c r="A15" s="2" t="s">
        <v>369</v>
      </c>
      <c r="B15" s="2" t="s">
        <v>28</v>
      </c>
      <c r="C15" s="2" t="s">
        <v>738</v>
      </c>
      <c r="D15" s="2" t="s">
        <v>371</v>
      </c>
      <c r="E15" s="4">
        <v>50</v>
      </c>
      <c r="F15" s="4">
        <v>12</v>
      </c>
      <c r="G15" s="4">
        <f t="shared" si="0"/>
        <v>600</v>
      </c>
      <c r="H15" s="2" t="s">
        <v>34</v>
      </c>
      <c r="I15" s="2" t="s">
        <v>719</v>
      </c>
      <c r="J15" s="2" t="s">
        <v>739</v>
      </c>
    </row>
    <row r="16" spans="1:10" ht="52.95" customHeight="1">
      <c r="A16" s="2" t="s">
        <v>382</v>
      </c>
      <c r="B16" s="2" t="s">
        <v>125</v>
      </c>
      <c r="C16" s="2" t="s">
        <v>740</v>
      </c>
      <c r="D16" s="2" t="s">
        <v>76</v>
      </c>
      <c r="E16" s="4">
        <v>30</v>
      </c>
      <c r="F16" s="4"/>
      <c r="G16" s="4" t="str">
        <f t="shared" si="0"/>
        <v/>
      </c>
      <c r="H16" s="2" t="s">
        <v>34</v>
      </c>
      <c r="I16" s="2" t="s">
        <v>719</v>
      </c>
      <c r="J16" s="2" t="s">
        <v>741</v>
      </c>
    </row>
    <row r="17" spans="1:10" ht="52.95" customHeight="1">
      <c r="A17" s="2" t="s">
        <v>391</v>
      </c>
      <c r="B17" s="2" t="s">
        <v>125</v>
      </c>
      <c r="C17" s="2" t="s">
        <v>742</v>
      </c>
      <c r="D17" s="2" t="s">
        <v>393</v>
      </c>
      <c r="E17" s="4">
        <v>2000</v>
      </c>
      <c r="F17" s="4">
        <v>1</v>
      </c>
      <c r="G17" s="4">
        <f t="shared" si="0"/>
        <v>2000</v>
      </c>
      <c r="H17" s="2" t="s">
        <v>34</v>
      </c>
      <c r="I17" s="2" t="s">
        <v>719</v>
      </c>
      <c r="J17" s="2" t="s">
        <v>743</v>
      </c>
    </row>
  </sheetData>
  <mergeCells count="2">
    <mergeCell ref="A1:J1"/>
    <mergeCell ref="A2:J2"/>
  </mergeCells>
  <conditionalFormatting sqref="G5:G17">
    <cfRule type="dataBar" priority="1">
      <dataBar>
        <cfvo type="min"/>
        <cfvo type="max"/>
        <color rgb="FF318A88"/>
      </dataBar>
    </cfRule>
  </conditionalFormatting>
  <conditionalFormatting sqref="G5:G17">
    <cfRule type="dataBar" priority="2">
      <dataBar>
        <cfvo type="min"/>
        <cfvo type="max"/>
        <color rgb="FF318A88"/>
      </dataBar>
      <extLst>
        <ext xmlns:x14="http://schemas.microsoft.com/office/spreadsheetml/2009/9/main" uri="{B025F937-C7B1-47D3-B67F-A62EFF666E3E}">
          <x14:id>{51DD2F89-0F14-EC71-FA8A-42EAE1F24F05}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DD2F89-0F14-EC71-FA8A-42EAE1F24F05}">
            <x14:dataBar>
              <x14:cfvo type="min"/>
              <x14:cfvo type="max"/>
              <x14:negativeFillColor auto="1"/>
              <x14:axisColor auto="1"/>
            </x14:dataBar>
          </x14:cfRule>
          <xm:sqref>G5:G17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4" topLeftCell="A5" activePane="bottomLeft" state="frozen"/>
      <selection pane="bottomLeft" activeCell="A9" sqref="A9"/>
    </sheetView>
  </sheetViews>
  <sheetFormatPr baseColWidth="10" defaultColWidth="8.796875" defaultRowHeight="13.8"/>
  <cols>
    <col min="1" max="1" width="34" customWidth="1"/>
    <col min="2" max="2" width="19" customWidth="1"/>
    <col min="3" max="3" width="28" customWidth="1"/>
    <col min="4" max="5" width="72" customWidth="1"/>
  </cols>
  <sheetData>
    <row r="1" spans="1:5" ht="31.95" customHeight="1">
      <c r="A1" s="9" t="s">
        <v>744</v>
      </c>
      <c r="B1" s="9"/>
      <c r="C1" s="9"/>
      <c r="D1" s="9"/>
      <c r="E1" s="9"/>
    </row>
    <row r="2" spans="1:5" ht="42" customHeight="1">
      <c r="A2" s="10" t="s">
        <v>745</v>
      </c>
      <c r="B2" s="10"/>
      <c r="C2" s="10"/>
      <c r="D2" s="10"/>
      <c r="E2" s="10"/>
    </row>
    <row r="4" spans="1:5" ht="37.049999999999997" customHeight="1">
      <c r="A4" s="1" t="s">
        <v>746</v>
      </c>
      <c r="B4" s="1" t="s">
        <v>447</v>
      </c>
      <c r="C4" s="1" t="s">
        <v>747</v>
      </c>
      <c r="D4" s="1" t="s">
        <v>748</v>
      </c>
      <c r="E4" s="1" t="s">
        <v>749</v>
      </c>
    </row>
    <row r="5" spans="1:5" ht="49.95" customHeight="1">
      <c r="A5" s="2" t="s">
        <v>656</v>
      </c>
      <c r="B5" s="2" t="s">
        <v>750</v>
      </c>
      <c r="C5" s="2" t="s">
        <v>688</v>
      </c>
      <c r="D5" s="2" t="s">
        <v>751</v>
      </c>
      <c r="E5" s="2" t="s">
        <v>752</v>
      </c>
    </row>
    <row r="6" spans="1:5" ht="49.95" customHeight="1">
      <c r="A6" s="2" t="s">
        <v>659</v>
      </c>
      <c r="B6" s="2" t="s">
        <v>750</v>
      </c>
      <c r="C6" s="2" t="s">
        <v>77</v>
      </c>
      <c r="D6" s="2" t="s">
        <v>753</v>
      </c>
      <c r="E6" s="2" t="s">
        <v>754</v>
      </c>
    </row>
    <row r="7" spans="1:5" ht="49.95" customHeight="1">
      <c r="A7" s="2" t="s">
        <v>660</v>
      </c>
      <c r="B7" s="2" t="s">
        <v>755</v>
      </c>
      <c r="C7" s="2" t="s">
        <v>696</v>
      </c>
      <c r="D7" s="2" t="s">
        <v>756</v>
      </c>
      <c r="E7" s="2" t="s">
        <v>757</v>
      </c>
    </row>
    <row r="8" spans="1:5" ht="49.95" customHeight="1">
      <c r="A8" s="2" t="s">
        <v>661</v>
      </c>
      <c r="B8" s="2" t="s">
        <v>750</v>
      </c>
      <c r="C8" s="2" t="s">
        <v>78</v>
      </c>
      <c r="D8" s="2" t="s">
        <v>758</v>
      </c>
      <c r="E8" s="2" t="s">
        <v>759</v>
      </c>
    </row>
    <row r="9" spans="1:5" ht="49.95" customHeight="1">
      <c r="A9" s="2" t="s">
        <v>662</v>
      </c>
      <c r="B9" s="2" t="s">
        <v>750</v>
      </c>
      <c r="C9" s="2" t="s">
        <v>28</v>
      </c>
      <c r="D9" s="2" t="s">
        <v>760</v>
      </c>
      <c r="E9" s="2" t="s">
        <v>761</v>
      </c>
    </row>
    <row r="10" spans="1:5" ht="49.95" customHeight="1">
      <c r="A10" s="2" t="s">
        <v>664</v>
      </c>
      <c r="B10" s="2" t="s">
        <v>750</v>
      </c>
      <c r="C10" s="2" t="s">
        <v>762</v>
      </c>
      <c r="D10" s="2" t="s">
        <v>763</v>
      </c>
      <c r="E10" s="2" t="s">
        <v>764</v>
      </c>
    </row>
    <row r="11" spans="1:5" ht="49.95" customHeight="1">
      <c r="A11" s="2" t="s">
        <v>665</v>
      </c>
      <c r="B11" s="2" t="s">
        <v>755</v>
      </c>
      <c r="C11" s="2" t="s">
        <v>765</v>
      </c>
      <c r="D11" s="2" t="s">
        <v>766</v>
      </c>
      <c r="E11" s="2" t="s">
        <v>767</v>
      </c>
    </row>
    <row r="12" spans="1:5" ht="49.95" customHeight="1">
      <c r="A12" s="2" t="s">
        <v>666</v>
      </c>
      <c r="B12" s="2" t="s">
        <v>755</v>
      </c>
      <c r="C12" s="2" t="s">
        <v>697</v>
      </c>
      <c r="D12" s="2" t="s">
        <v>768</v>
      </c>
      <c r="E12" s="2" t="s">
        <v>769</v>
      </c>
    </row>
    <row r="13" spans="1:5" ht="49.95" customHeight="1">
      <c r="A13" s="2" t="s">
        <v>667</v>
      </c>
      <c r="B13" s="2" t="s">
        <v>770</v>
      </c>
      <c r="C13" s="2" t="s">
        <v>771</v>
      </c>
      <c r="D13" s="2" t="s">
        <v>772</v>
      </c>
      <c r="E13" s="2" t="s">
        <v>773</v>
      </c>
    </row>
    <row r="14" spans="1:5" ht="49.95" customHeight="1">
      <c r="A14" s="2" t="s">
        <v>668</v>
      </c>
      <c r="B14" s="2" t="s">
        <v>770</v>
      </c>
      <c r="C14" s="2" t="s">
        <v>774</v>
      </c>
      <c r="D14" s="2" t="s">
        <v>775</v>
      </c>
      <c r="E14" s="2" t="s">
        <v>776</v>
      </c>
    </row>
    <row r="15" spans="1:5" ht="49.95" customHeight="1">
      <c r="A15" s="2" t="s">
        <v>669</v>
      </c>
      <c r="B15" s="2" t="s">
        <v>770</v>
      </c>
      <c r="C15" s="2" t="s">
        <v>777</v>
      </c>
      <c r="D15" s="2" t="s">
        <v>778</v>
      </c>
      <c r="E15" s="2" t="s">
        <v>779</v>
      </c>
    </row>
    <row r="16" spans="1:5" ht="49.95" customHeight="1">
      <c r="A16" s="2" t="s">
        <v>670</v>
      </c>
      <c r="B16" s="2" t="s">
        <v>750</v>
      </c>
      <c r="C16" s="2" t="s">
        <v>315</v>
      </c>
      <c r="D16" s="2" t="s">
        <v>780</v>
      </c>
      <c r="E16" s="2" t="s">
        <v>781</v>
      </c>
    </row>
    <row r="17" spans="1:5" ht="49.95" customHeight="1">
      <c r="A17" s="2" t="s">
        <v>671</v>
      </c>
      <c r="B17" s="2" t="s">
        <v>770</v>
      </c>
      <c r="C17" s="2" t="s">
        <v>782</v>
      </c>
      <c r="D17" s="2" t="s">
        <v>783</v>
      </c>
      <c r="E17" s="2" t="s">
        <v>784</v>
      </c>
    </row>
    <row r="18" spans="1:5" ht="49.95" customHeight="1">
      <c r="A18" s="2" t="s">
        <v>672</v>
      </c>
      <c r="B18" s="2" t="s">
        <v>770</v>
      </c>
      <c r="C18" s="2" t="s">
        <v>785</v>
      </c>
      <c r="D18" s="2" t="s">
        <v>786</v>
      </c>
      <c r="E18" s="2" t="s">
        <v>784</v>
      </c>
    </row>
    <row r="19" spans="1:5" ht="49.95" customHeight="1">
      <c r="A19" s="2" t="s">
        <v>673</v>
      </c>
      <c r="B19" s="2" t="s">
        <v>750</v>
      </c>
      <c r="C19" s="2" t="s">
        <v>197</v>
      </c>
      <c r="D19" s="2" t="s">
        <v>16</v>
      </c>
      <c r="E19" s="2" t="s">
        <v>787</v>
      </c>
    </row>
    <row r="20" spans="1:5" ht="49.95" customHeight="1">
      <c r="A20" s="2" t="s">
        <v>674</v>
      </c>
      <c r="B20" s="2" t="s">
        <v>788</v>
      </c>
      <c r="C20" s="2" t="s">
        <v>789</v>
      </c>
      <c r="D20" s="2" t="s">
        <v>790</v>
      </c>
      <c r="E20" s="2" t="s">
        <v>791</v>
      </c>
    </row>
    <row r="21" spans="1:5" ht="49.95" customHeight="1">
      <c r="A21" s="2" t="s">
        <v>675</v>
      </c>
      <c r="B21" s="2" t="s">
        <v>788</v>
      </c>
      <c r="C21" s="2" t="s">
        <v>792</v>
      </c>
      <c r="D21" s="2" t="s">
        <v>793</v>
      </c>
      <c r="E21" s="2" t="s">
        <v>794</v>
      </c>
    </row>
    <row r="22" spans="1:5" ht="49.95" customHeight="1">
      <c r="A22" s="2" t="s">
        <v>676</v>
      </c>
      <c r="B22" s="2" t="s">
        <v>750</v>
      </c>
      <c r="C22" s="2" t="s">
        <v>486</v>
      </c>
      <c r="D22" s="2" t="s">
        <v>795</v>
      </c>
      <c r="E22" s="2" t="s">
        <v>796</v>
      </c>
    </row>
    <row r="23" spans="1:5" ht="49.95" customHeight="1">
      <c r="A23" s="2" t="s">
        <v>677</v>
      </c>
      <c r="B23" s="2" t="s">
        <v>750</v>
      </c>
      <c r="C23" s="2" t="s">
        <v>311</v>
      </c>
      <c r="D23" s="2" t="s">
        <v>797</v>
      </c>
      <c r="E23" s="2" t="s">
        <v>798</v>
      </c>
    </row>
    <row r="24" spans="1:5" ht="49.95" customHeight="1">
      <c r="A24" s="2" t="s">
        <v>680</v>
      </c>
      <c r="B24" s="2" t="s">
        <v>750</v>
      </c>
      <c r="C24" s="2" t="s">
        <v>799</v>
      </c>
      <c r="D24" s="2" t="s">
        <v>800</v>
      </c>
      <c r="E24" s="2" t="s">
        <v>801</v>
      </c>
    </row>
    <row r="25" spans="1:5" ht="49.95" customHeight="1">
      <c r="A25" s="2" t="s">
        <v>681</v>
      </c>
      <c r="B25" s="2" t="s">
        <v>802</v>
      </c>
      <c r="C25" s="2" t="s">
        <v>803</v>
      </c>
      <c r="D25" s="2" t="s">
        <v>804</v>
      </c>
      <c r="E25" s="2" t="s">
        <v>805</v>
      </c>
    </row>
    <row r="26" spans="1:5" ht="49.95" customHeight="1">
      <c r="A26" s="2" t="s">
        <v>682</v>
      </c>
      <c r="B26" s="2" t="s">
        <v>806</v>
      </c>
      <c r="C26" s="2" t="s">
        <v>803</v>
      </c>
      <c r="D26" s="2" t="s">
        <v>807</v>
      </c>
      <c r="E26" s="2" t="s">
        <v>808</v>
      </c>
    </row>
    <row r="27" spans="1:5" ht="49.95" customHeight="1">
      <c r="A27" s="2" t="s">
        <v>683</v>
      </c>
      <c r="B27" s="2" t="s">
        <v>806</v>
      </c>
      <c r="C27" s="2" t="s">
        <v>803</v>
      </c>
      <c r="D27" s="2" t="s">
        <v>809</v>
      </c>
      <c r="E27" s="2" t="s">
        <v>810</v>
      </c>
    </row>
    <row r="28" spans="1:5" ht="49.95" customHeight="1">
      <c r="A28" s="2" t="s">
        <v>684</v>
      </c>
      <c r="B28" s="2" t="s">
        <v>755</v>
      </c>
      <c r="C28" s="2" t="s">
        <v>693</v>
      </c>
      <c r="D28" s="2" t="s">
        <v>811</v>
      </c>
      <c r="E28" s="2" t="s">
        <v>812</v>
      </c>
    </row>
    <row r="29" spans="1:5" ht="49.95" customHeight="1">
      <c r="A29" s="2" t="s">
        <v>685</v>
      </c>
      <c r="B29" s="2" t="s">
        <v>813</v>
      </c>
      <c r="C29" s="2" t="s">
        <v>814</v>
      </c>
      <c r="D29" s="2" t="s">
        <v>815</v>
      </c>
      <c r="E29" s="2" t="s">
        <v>816</v>
      </c>
    </row>
    <row r="30" spans="1:5" ht="49.95" customHeight="1">
      <c r="A30" s="2" t="s">
        <v>686</v>
      </c>
      <c r="B30" s="2" t="s">
        <v>813</v>
      </c>
      <c r="C30" s="2" t="s">
        <v>814</v>
      </c>
      <c r="D30" s="2" t="s">
        <v>817</v>
      </c>
      <c r="E30" s="2" t="s">
        <v>818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opLeftCell="D1" workbookViewId="0">
      <pane ySplit="4" topLeftCell="A5" activePane="bottomLeft" state="frozen"/>
      <selection pane="bottomLeft" activeCell="E4" sqref="E4:G4"/>
    </sheetView>
  </sheetViews>
  <sheetFormatPr baseColWidth="10" defaultColWidth="8.796875" defaultRowHeight="13.8"/>
  <cols>
    <col min="1" max="1" width="17" customWidth="1"/>
    <col min="2" max="2" width="38" customWidth="1"/>
    <col min="3" max="3" width="52" customWidth="1"/>
    <col min="4" max="4" width="65" customWidth="1"/>
    <col min="5" max="5" width="23" customWidth="1"/>
    <col min="6" max="6" width="24" customWidth="1"/>
    <col min="7" max="7" width="30" customWidth="1"/>
    <col min="8" max="8" width="72" customWidth="1"/>
  </cols>
  <sheetData>
    <row r="1" spans="1:8" ht="31.95" customHeight="1">
      <c r="A1" s="9" t="s">
        <v>819</v>
      </c>
      <c r="B1" s="9"/>
      <c r="C1" s="9"/>
      <c r="D1" s="9"/>
      <c r="E1" s="9"/>
      <c r="F1" s="9"/>
      <c r="G1" s="9"/>
      <c r="H1" s="9"/>
    </row>
    <row r="2" spans="1:8" ht="42" customHeight="1">
      <c r="A2" s="10" t="s">
        <v>820</v>
      </c>
      <c r="B2" s="10"/>
      <c r="C2" s="10"/>
      <c r="D2" s="10"/>
      <c r="E2" s="10"/>
      <c r="F2" s="10"/>
      <c r="G2" s="10"/>
      <c r="H2" s="10"/>
    </row>
    <row r="4" spans="1:8" ht="37.049999999999997" customHeight="1">
      <c r="A4" s="1" t="s">
        <v>821</v>
      </c>
      <c r="B4" s="1" t="s">
        <v>822</v>
      </c>
      <c r="C4" s="1" t="s">
        <v>823</v>
      </c>
      <c r="D4" s="1" t="s">
        <v>824</v>
      </c>
      <c r="E4" s="1" t="s">
        <v>825</v>
      </c>
    </row>
    <row r="5" spans="1:8" ht="58.05" customHeight="1">
      <c r="A5" s="2" t="s">
        <v>826</v>
      </c>
      <c r="B5" s="2" t="s">
        <v>827</v>
      </c>
      <c r="C5" s="2" t="s">
        <v>828</v>
      </c>
      <c r="D5" s="2" t="s">
        <v>829</v>
      </c>
      <c r="E5" s="2" t="s">
        <v>830</v>
      </c>
    </row>
    <row r="6" spans="1:8" ht="58.05" customHeight="1">
      <c r="A6" s="2" t="s">
        <v>831</v>
      </c>
      <c r="B6" s="2" t="s">
        <v>832</v>
      </c>
      <c r="C6" s="2" t="s">
        <v>828</v>
      </c>
      <c r="D6" s="2" t="s">
        <v>829</v>
      </c>
      <c r="E6" s="2" t="s">
        <v>833</v>
      </c>
    </row>
    <row r="7" spans="1:8" ht="58.05" customHeight="1">
      <c r="A7" s="2" t="s">
        <v>834</v>
      </c>
      <c r="B7" s="2" t="s">
        <v>835</v>
      </c>
      <c r="C7" s="2" t="s">
        <v>828</v>
      </c>
      <c r="D7" s="2" t="s">
        <v>829</v>
      </c>
      <c r="E7" s="2" t="s">
        <v>836</v>
      </c>
    </row>
    <row r="8" spans="1:8" ht="58.05" customHeight="1">
      <c r="A8" s="2" t="s">
        <v>837</v>
      </c>
      <c r="B8" s="2" t="s">
        <v>838</v>
      </c>
      <c r="C8" s="2" t="s">
        <v>839</v>
      </c>
      <c r="D8" s="2" t="s">
        <v>840</v>
      </c>
      <c r="E8" s="2" t="s">
        <v>841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pane ySplit="4" topLeftCell="A5" activePane="bottomLeft" state="frozen"/>
      <selection pane="bottomLeft" activeCell="D6" sqref="D6:D9"/>
    </sheetView>
  </sheetViews>
  <sheetFormatPr baseColWidth="10" defaultColWidth="8.796875" defaultRowHeight="13.8"/>
  <cols>
    <col min="1" max="1" width="36" customWidth="1"/>
    <col min="2" max="2" width="23" customWidth="1"/>
    <col min="3" max="3" width="45" customWidth="1"/>
    <col min="4" max="4" width="61" customWidth="1"/>
    <col min="5" max="8" width="13" customWidth="1"/>
  </cols>
  <sheetData>
    <row r="1" spans="1:8" ht="36" customHeight="1">
      <c r="A1" s="9" t="s">
        <v>842</v>
      </c>
      <c r="B1" s="9"/>
      <c r="C1" s="9"/>
      <c r="D1" s="9"/>
      <c r="E1" s="9"/>
      <c r="F1" s="9"/>
      <c r="G1" s="9"/>
      <c r="H1" s="9"/>
    </row>
    <row r="2" spans="1:8" ht="52.95" customHeight="1">
      <c r="A2" s="10" t="s">
        <v>843</v>
      </c>
      <c r="B2" s="10"/>
      <c r="C2" s="10"/>
      <c r="D2" s="10"/>
      <c r="E2" s="10"/>
      <c r="F2" s="10"/>
      <c r="G2" s="10"/>
      <c r="H2" s="10"/>
    </row>
    <row r="4" spans="1:8">
      <c r="A4" s="1" t="s">
        <v>844</v>
      </c>
      <c r="B4" s="1" t="s">
        <v>845</v>
      </c>
      <c r="C4" s="1" t="s">
        <v>846</v>
      </c>
      <c r="D4" s="1" t="s">
        <v>847</v>
      </c>
    </row>
    <row r="5" spans="1:8" ht="28.95" customHeight="1">
      <c r="A5" s="2" t="s">
        <v>848</v>
      </c>
      <c r="B5" s="7">
        <f>COUNTA('01_Referentiel_Unique'!A5:A79)</f>
        <v>75</v>
      </c>
      <c r="C5" s="2" t="s">
        <v>849</v>
      </c>
      <c r="D5" s="2" t="s">
        <v>850</v>
      </c>
    </row>
    <row r="6" spans="1:8" ht="28.95" customHeight="1">
      <c r="A6" s="2" t="s">
        <v>851</v>
      </c>
      <c r="B6" s="7">
        <f>COUNTIF('01_Referentiel_Unique'!G5:G79,"TARIF")</f>
        <v>46</v>
      </c>
      <c r="C6" s="2" t="s">
        <v>852</v>
      </c>
      <c r="D6" s="2"/>
    </row>
    <row r="7" spans="1:8" ht="28.95" customHeight="1">
      <c r="A7" s="2" t="s">
        <v>853</v>
      </c>
      <c r="B7" s="7">
        <f>COUNTIF('01_Referentiel_Unique'!G5:G79,"PLAFOND")</f>
        <v>4</v>
      </c>
      <c r="C7" s="2" t="s">
        <v>854</v>
      </c>
      <c r="D7" s="2"/>
    </row>
    <row r="8" spans="1:8" ht="28.95" customHeight="1">
      <c r="A8" s="2" t="s">
        <v>855</v>
      </c>
      <c r="B8" s="7">
        <f>COUNTIF('01_Referentiel_Unique'!G5:G79,"DÉLAI")</f>
        <v>7</v>
      </c>
      <c r="C8" s="2" t="s">
        <v>856</v>
      </c>
      <c r="D8" s="2"/>
    </row>
    <row r="9" spans="1:8" ht="28.95" customHeight="1">
      <c r="A9" s="2" t="s">
        <v>857</v>
      </c>
      <c r="B9" s="7">
        <f>COUNTIF('01_Referentiel_Unique'!H5:H79,"Gratuit")+COUNTIF('01_Referentiel_Unique'!H5:H79,"Gratuit pour le porteur")</f>
        <v>13</v>
      </c>
      <c r="C9" s="2" t="s">
        <v>858</v>
      </c>
      <c r="D9" s="2"/>
    </row>
    <row r="10" spans="1:8" ht="28.95" customHeight="1">
      <c r="A10" s="2" t="s">
        <v>859</v>
      </c>
      <c r="B10" s="7">
        <v>16</v>
      </c>
      <c r="C10" s="2" t="s">
        <v>860</v>
      </c>
      <c r="D10" s="2" t="s">
        <v>861</v>
      </c>
    </row>
    <row r="13" spans="1:8">
      <c r="A13" s="1" t="s">
        <v>3</v>
      </c>
      <c r="B13" s="1" t="s">
        <v>862</v>
      </c>
      <c r="C13" s="1" t="s">
        <v>863</v>
      </c>
      <c r="D13" s="1" t="s">
        <v>864</v>
      </c>
    </row>
    <row r="14" spans="1:8" ht="27" customHeight="1">
      <c r="A14" s="2" t="s">
        <v>25</v>
      </c>
      <c r="B14" s="8">
        <f>COUNTIF('01_Referentiel_Unique'!B5:B79,A14)</f>
        <v>18</v>
      </c>
      <c r="C14" s="2" t="s">
        <v>865</v>
      </c>
      <c r="D14" s="2" t="s">
        <v>28</v>
      </c>
    </row>
    <row r="15" spans="1:8" ht="27" customHeight="1">
      <c r="A15" s="2" t="s">
        <v>63</v>
      </c>
      <c r="B15" s="8">
        <f>COUNTIF('01_Referentiel_Unique'!B5:B79,A15)</f>
        <v>25</v>
      </c>
      <c r="C15" s="2" t="s">
        <v>866</v>
      </c>
      <c r="D15" s="2" t="s">
        <v>184</v>
      </c>
    </row>
    <row r="16" spans="1:8" ht="27" customHeight="1">
      <c r="A16" s="2" t="s">
        <v>300</v>
      </c>
      <c r="B16" s="8">
        <f>COUNTIF('01_Referentiel_Unique'!B5:B79,A16)</f>
        <v>8</v>
      </c>
      <c r="C16" s="2" t="s">
        <v>867</v>
      </c>
      <c r="D16" s="2" t="s">
        <v>303</v>
      </c>
    </row>
    <row r="17" spans="1:4" ht="27" customHeight="1">
      <c r="A17" s="2" t="s">
        <v>150</v>
      </c>
      <c r="B17" s="8">
        <f>COUNTIF('01_Referentiel_Unique'!B5:B79,A17)</f>
        <v>5</v>
      </c>
      <c r="C17" s="2" t="s">
        <v>868</v>
      </c>
      <c r="D17" s="2" t="s">
        <v>28</v>
      </c>
    </row>
    <row r="18" spans="1:4" ht="27" customHeight="1">
      <c r="A18" s="2" t="s">
        <v>336</v>
      </c>
      <c r="B18" s="8">
        <f>COUNTIF('01_Referentiel_Unique'!B5:B79,A18)</f>
        <v>14</v>
      </c>
      <c r="C18" s="2" t="s">
        <v>869</v>
      </c>
      <c r="D18" s="2" t="s">
        <v>561</v>
      </c>
    </row>
    <row r="19" spans="1:4" ht="27" customHeight="1">
      <c r="A19" s="2" t="s">
        <v>257</v>
      </c>
      <c r="B19" s="8">
        <f>COUNTIF('01_Referentiel_Unique'!B5:B79,A19)</f>
        <v>4</v>
      </c>
      <c r="C19" s="2" t="s">
        <v>870</v>
      </c>
      <c r="D19" s="2" t="s">
        <v>125</v>
      </c>
    </row>
    <row r="20" spans="1:4" ht="27" customHeight="1">
      <c r="A20" s="2" t="s">
        <v>122</v>
      </c>
      <c r="B20" s="8">
        <f>COUNTIF('01_Referentiel_Unique'!B5:B79,A20)</f>
        <v>1</v>
      </c>
      <c r="C20" s="2" t="s">
        <v>871</v>
      </c>
      <c r="D20" s="2" t="s">
        <v>125</v>
      </c>
    </row>
    <row r="23" spans="1:4">
      <c r="A23" s="1" t="s">
        <v>872</v>
      </c>
      <c r="B23" s="1" t="s">
        <v>873</v>
      </c>
      <c r="C23" s="1" t="s">
        <v>874</v>
      </c>
      <c r="D23" s="1" t="s">
        <v>875</v>
      </c>
    </row>
    <row r="24" spans="1:4" ht="37.049999999999997" customHeight="1">
      <c r="A24" s="2" t="s">
        <v>876</v>
      </c>
      <c r="B24" s="2" t="s">
        <v>877</v>
      </c>
      <c r="C24" s="2" t="s">
        <v>125</v>
      </c>
      <c r="D24" s="2" t="s">
        <v>878</v>
      </c>
    </row>
    <row r="25" spans="1:4" ht="37.049999999999997" customHeight="1">
      <c r="A25" s="2" t="s">
        <v>879</v>
      </c>
      <c r="B25" s="2" t="s">
        <v>880</v>
      </c>
      <c r="C25" s="2" t="s">
        <v>28</v>
      </c>
      <c r="D25" s="2" t="s">
        <v>881</v>
      </c>
    </row>
    <row r="26" spans="1:4" ht="37.049999999999997" customHeight="1">
      <c r="A26" s="2" t="s">
        <v>882</v>
      </c>
      <c r="B26" s="2" t="s">
        <v>883</v>
      </c>
      <c r="C26" s="2" t="s">
        <v>184</v>
      </c>
      <c r="D26" s="2" t="s">
        <v>884</v>
      </c>
    </row>
    <row r="27" spans="1:4" ht="37.049999999999997" customHeight="1">
      <c r="A27" s="2" t="s">
        <v>885</v>
      </c>
      <c r="B27" s="2" t="s">
        <v>886</v>
      </c>
      <c r="C27" s="2" t="s">
        <v>887</v>
      </c>
      <c r="D27" s="2" t="s">
        <v>888</v>
      </c>
    </row>
    <row r="28" spans="1:4" ht="37.049999999999997" customHeight="1">
      <c r="A28" s="2" t="s">
        <v>889</v>
      </c>
      <c r="B28" s="2" t="s">
        <v>890</v>
      </c>
      <c r="C28" s="2" t="s">
        <v>125</v>
      </c>
      <c r="D28" s="2" t="s">
        <v>891</v>
      </c>
    </row>
    <row r="29" spans="1:4" ht="37.049999999999997" customHeight="1">
      <c r="A29" s="2" t="s">
        <v>892</v>
      </c>
      <c r="B29" s="2" t="s">
        <v>893</v>
      </c>
      <c r="C29" s="2" t="s">
        <v>28</v>
      </c>
      <c r="D29" s="2" t="s">
        <v>894</v>
      </c>
    </row>
    <row r="30" spans="1:4" ht="37.049999999999997" customHeight="1">
      <c r="A30" s="2" t="s">
        <v>895</v>
      </c>
      <c r="B30" s="2" t="s">
        <v>896</v>
      </c>
      <c r="C30" s="2" t="s">
        <v>125</v>
      </c>
      <c r="D30" s="2" t="s">
        <v>897</v>
      </c>
    </row>
    <row r="31" spans="1:4" ht="37.049999999999997" customHeight="1">
      <c r="A31" s="2" t="s">
        <v>898</v>
      </c>
      <c r="B31" s="2" t="s">
        <v>899</v>
      </c>
      <c r="C31" s="2" t="s">
        <v>125</v>
      </c>
      <c r="D31" s="2" t="s">
        <v>900</v>
      </c>
    </row>
    <row r="32" spans="1:4" ht="37.049999999999997" customHeight="1">
      <c r="A32" s="2" t="s">
        <v>901</v>
      </c>
      <c r="B32" s="2" t="s">
        <v>902</v>
      </c>
      <c r="C32" s="2" t="s">
        <v>28</v>
      </c>
      <c r="D32" s="2" t="s">
        <v>903</v>
      </c>
    </row>
    <row r="33" spans="1:8" ht="37.049999999999997" customHeight="1">
      <c r="A33" s="2" t="s">
        <v>904</v>
      </c>
      <c r="B33" s="2" t="s">
        <v>905</v>
      </c>
      <c r="C33" s="2" t="s">
        <v>906</v>
      </c>
      <c r="D33" s="2" t="s">
        <v>907</v>
      </c>
    </row>
    <row r="34" spans="1:8" ht="37.049999999999997" customHeight="1">
      <c r="A34" s="2" t="s">
        <v>908</v>
      </c>
      <c r="B34" s="2" t="s">
        <v>909</v>
      </c>
      <c r="C34" s="2" t="s">
        <v>910</v>
      </c>
      <c r="D34" s="2" t="s">
        <v>911</v>
      </c>
    </row>
    <row r="35" spans="1:8" ht="37.049999999999997" customHeight="1">
      <c r="A35" s="2" t="s">
        <v>912</v>
      </c>
      <c r="B35" s="2" t="s">
        <v>913</v>
      </c>
      <c r="C35" s="2" t="s">
        <v>914</v>
      </c>
      <c r="D35" s="2" t="s">
        <v>915</v>
      </c>
    </row>
    <row r="36" spans="1:8" ht="37.049999999999997" customHeight="1">
      <c r="A36" s="2" t="s">
        <v>916</v>
      </c>
      <c r="B36" s="2" t="s">
        <v>917</v>
      </c>
      <c r="C36" s="2" t="s">
        <v>918</v>
      </c>
      <c r="D36" s="2" t="s">
        <v>919</v>
      </c>
    </row>
    <row r="37" spans="1:8" ht="37.049999999999997" customHeight="1">
      <c r="A37" s="2" t="s">
        <v>920</v>
      </c>
      <c r="B37" s="2" t="s">
        <v>921</v>
      </c>
      <c r="C37" s="2" t="s">
        <v>914</v>
      </c>
      <c r="D37" s="2" t="s">
        <v>922</v>
      </c>
    </row>
    <row r="38" spans="1:8" ht="37.049999999999997" customHeight="1">
      <c r="A38" s="2" t="s">
        <v>923</v>
      </c>
      <c r="B38" s="2" t="s">
        <v>924</v>
      </c>
      <c r="C38" s="2" t="s">
        <v>925</v>
      </c>
      <c r="D38" s="2" t="s">
        <v>926</v>
      </c>
    </row>
    <row r="41" spans="1:8">
      <c r="A41" s="11" t="s">
        <v>927</v>
      </c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</sheetData>
  <mergeCells count="3">
    <mergeCell ref="A1:H1"/>
    <mergeCell ref="A2:H2"/>
    <mergeCell ref="A41:H42"/>
  </mergeCells>
  <conditionalFormatting sqref="B14:B20">
    <cfRule type="dataBar" priority="1">
      <dataBar>
        <cfvo type="min"/>
        <cfvo type="max"/>
        <color rgb="FF409A93"/>
      </dataBar>
    </cfRule>
  </conditionalFormatting>
  <conditionalFormatting sqref="B14:B20">
    <cfRule type="dataBar" priority="2">
      <dataBar>
        <cfvo type="min"/>
        <cfvo type="max"/>
        <color rgb="FF409A93"/>
      </dataBar>
      <extLst>
        <ext xmlns:x14="http://schemas.microsoft.com/office/spreadsheetml/2009/9/main" uri="{B025F937-C7B1-47D3-B67F-A62EFF666E3E}">
          <x14:id>{5DFE37C5-BC63-87F0-51A0-997E9E4D9B50}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FE37C5-BC63-87F0-51A0-997E9E4D9B50}">
            <x14:dataBar>
              <x14:cfvo type="min"/>
              <x14:cfvo type="max"/>
              <x14:negativeFillColor auto="1"/>
              <x14:axisColor auto="1"/>
            </x14:dataBar>
          </x14:cfRule>
          <xm:sqref>B14:B20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01_Referentiel_Unique</vt:lpstr>
      <vt:lpstr>02_CCP_Comptes</vt:lpstr>
      <vt:lpstr>03_EDAHABIA</vt:lpstr>
      <vt:lpstr>04_TPE_Commercants</vt:lpstr>
      <vt:lpstr>05_Reseau_Postal</vt:lpstr>
      <vt:lpstr>06_BaridiMob_ECCP</vt:lpstr>
      <vt:lpstr>07_Identifiants_WU</vt:lpstr>
      <vt:lpstr>08_Plafonds_Delais</vt:lpstr>
      <vt:lpstr>09_Bareme_PINPAD</vt:lpstr>
      <vt:lpstr>10_Matrice_FINCLUDIA</vt:lpstr>
      <vt:lpstr>11_Controle_Validation</vt:lpstr>
      <vt:lpstr>12_Import_FINCLUDIA</vt:lpstr>
      <vt:lpstr>13_Couts_Annualises</vt:lpstr>
      <vt:lpstr>14_Dictionnaire_API</vt:lpstr>
      <vt:lpstr>15_Sources_Provenance</vt:lpstr>
      <vt:lpstr>00_Tableau_de_bord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 Abdelahmid</cp:lastModifiedBy>
  <dcterms:modified xsi:type="dcterms:W3CDTF">2026-10-16T13:26:18Z</dcterms:modified>
</cp:coreProperties>
</file>