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40" windowHeight="10512" firstSheet="13" activeTab="19"/>
  </bookViews>
  <sheets>
    <sheet name="00_Synthèse" sheetId="1" r:id="rId1"/>
    <sheet name="01_Publics" sheetId="2" r:id="rId2"/>
    <sheet name="02_Parcours_E2E" sheetId="3" r:id="rId3"/>
    <sheet name="03_Categories" sheetId="4" r:id="rId4"/>
    <sheet name="04_Donnees_Objets" sheetId="5" r:id="rId5"/>
    <sheet name="05_Ecrans" sheetId="6" r:id="rId6"/>
    <sheet name="06_Champs_Inputs" sheetId="7" r:id="rId7"/>
    <sheet name="07_Actions_Sorties" sheetId="8" r:id="rId8"/>
    <sheet name="08_Tableaux_Bord" sheetId="9" r:id="rId9"/>
    <sheet name="09_Calculateurs" sheetId="10" r:id="rId10"/>
    <sheet name="10_Formules" sheetId="11" r:id="rId11"/>
    <sheet name="11_Algorithmes" sheetId="12" r:id="rId12"/>
    <sheet name="12_Recherche" sheetId="13" r:id="rId13"/>
    <sheet name="13_Chatbot" sheetId="14" r:id="rId14"/>
    <sheet name="14_Etats_Alertes" sheetId="15" r:id="rId15"/>
    <sheet name="15_API" sheetId="16" r:id="rId16"/>
    <sheet name="16_QA_Tests" sheetId="17" r:id="rId17"/>
    <sheet name="17_Backlog" sheetId="18" r:id="rId18"/>
    <sheet name="18_Provenance" sheetId="19" r:id="rId19"/>
    <sheet name="19_Cartes_Parcours" sheetId="20" r:id="rId20"/>
  </sheets>
  <calcPr calcId="162913"/>
</workbook>
</file>

<file path=xl/calcChain.xml><?xml version="1.0" encoding="utf-8"?>
<calcChain xmlns="http://schemas.openxmlformats.org/spreadsheetml/2006/main">
  <c r="B5" i="1" l="1"/>
  <c r="B6" i="1"/>
  <c r="B7" i="1"/>
  <c r="B8" i="1"/>
  <c r="E11" i="1"/>
  <c r="E12" i="1"/>
  <c r="E13" i="1"/>
  <c r="E14" i="1"/>
  <c r="E15" i="1"/>
  <c r="E16" i="1"/>
  <c r="E17" i="1"/>
  <c r="E18" i="1"/>
  <c r="E19" i="1"/>
  <c r="E20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<sst xmlns="http://schemas.openxmlformats.org/spreadsheetml/2006/main" count="10910" uniqueCount="3183">
  <si>
    <t>Indicateur</t>
  </si>
  <si>
    <t>Valeur</t>
  </si>
  <si>
    <t>Publics / expériences</t>
  </si>
  <si>
    <t>Écrans fonctionnels</t>
  </si>
  <si>
    <t>Champs d’entrée normalisés</t>
  </si>
  <si>
    <t>Calculateurs / simulateurs</t>
  </si>
  <si>
    <t>Formules / règles de calcul</t>
  </si>
  <si>
    <t>Algorithmes</t>
  </si>
  <si>
    <t>Public / portée</t>
  </si>
  <si>
    <t>Écrans</t>
  </si>
  <si>
    <t>Moteurs de recherche</t>
  </si>
  <si>
    <t>Lycéen</t>
  </si>
  <si>
    <t>Domaines API</t>
  </si>
  <si>
    <t>Étudiant</t>
  </si>
  <si>
    <t>Scénarios E2E</t>
  </si>
  <si>
    <t>Jeune actif</t>
  </si>
  <si>
    <t>Salarié</t>
  </si>
  <si>
    <t>Colocataire</t>
  </si>
  <si>
    <t>Onglet</t>
  </si>
  <si>
    <t>Contenu</t>
  </si>
  <si>
    <t>Couple</t>
  </si>
  <si>
    <t>01_Publics</t>
  </si>
  <si>
    <t>Publics, expériences et missions</t>
  </si>
  <si>
    <t>Famille</t>
  </si>
  <si>
    <t>02_Parcours_E2E</t>
  </si>
  <si>
    <t>Parcours transversaux de bout en bout</t>
  </si>
  <si>
    <t>Épargnant débutant</t>
  </si>
  <si>
    <t>03_Categories</t>
  </si>
  <si>
    <t>Référentiels de catégories</t>
  </si>
  <si>
    <t>Tous publics / socle commun</t>
  </si>
  <si>
    <t>04_Donnees_Objets</t>
  </si>
  <si>
    <t>Métadonnées, objets métier et validations</t>
  </si>
  <si>
    <t>Espaces partagés</t>
  </si>
  <si>
    <t>05_Ecrans</t>
  </si>
  <si>
    <t>81 fiches écran normalisées</t>
  </si>
  <si>
    <t>06_Champs_Inputs</t>
  </si>
  <si>
    <t>Tous les champs d’entrée, filtrables par écran/public</t>
  </si>
  <si>
    <t>07_Actions_Sorties</t>
  </si>
  <si>
    <t>Actions, sorties, erreurs et notifications normalisées</t>
  </si>
  <si>
    <t>08_Tableaux_Bord</t>
  </si>
  <si>
    <t>KPI et formules par public</t>
  </si>
  <si>
    <t>09_Calculateurs</t>
  </si>
  <si>
    <t>30 calculateurs et simulateurs</t>
  </si>
  <si>
    <t>10_Formules</t>
  </si>
  <si>
    <t>57 formules / règles de calcul</t>
  </si>
  <si>
    <t>11_Algorithmes</t>
  </si>
  <si>
    <t>4 algorithmes</t>
  </si>
  <si>
    <t>12_Recherche</t>
  </si>
  <si>
    <t>Moteurs de recherche et découverte</t>
  </si>
  <si>
    <t>13_Chatbot</t>
  </si>
  <si>
    <t>Composants et intentions du chatbot déterministe</t>
  </si>
  <si>
    <t>14_Etats_Alertes</t>
  </si>
  <si>
    <t>États, alertes et validations</t>
  </si>
  <si>
    <t>15_API</t>
  </si>
  <si>
    <t>Domaines API + contrat des calculs critiques</t>
  </si>
  <si>
    <t>16_QA_Tests</t>
  </si>
  <si>
    <t>Événements, tests unitaires et E2E</t>
  </si>
  <si>
    <t>17_Backlog</t>
  </si>
  <si>
    <t>Ordre de construction</t>
  </si>
  <si>
    <t>18_Provenance</t>
  </si>
  <si>
    <t>Traçabilité écran par écran</t>
  </si>
  <si>
    <t>19_Cartes_Parcours</t>
  </si>
  <si>
    <t>Navigation et écrans activés par public</t>
  </si>
  <si>
    <t>Publics, rôles et expériences FINCLUDIA</t>
  </si>
  <si>
    <t>Un compte possède un profil principal et peut activer plusieurs rôles complémentaires sans dupliquer les données.</t>
  </si>
  <si>
    <t>Code</t>
  </si>
  <si>
    <t>Public</t>
  </si>
  <si>
    <t>Expérience</t>
  </si>
  <si>
    <t>Mission</t>
  </si>
  <si>
    <t>LYC</t>
  </si>
  <si>
    <t>FINCLUDIA Avenir</t>
  </si>
  <si>
    <t>Apprendre à gérer une ressource et préparer les étapes suivantes.</t>
  </si>
  <si>
    <t>ETU</t>
  </si>
  <si>
    <t>FINCLUDIA Campus</t>
  </si>
  <si>
    <t>Piloter ressources, dépenses, études, réserve et transition vers l’emploi.</t>
  </si>
  <si>
    <t>JAC</t>
  </si>
  <si>
    <t>FINCLUDIA Premier Revenu</t>
  </si>
  <si>
    <t>Transformer le premier salaire en stabilité financière.</t>
  </si>
  <si>
    <t>SAL</t>
  </si>
  <si>
    <t>FINCLUDIA Mon Argent</t>
  </si>
  <si>
    <t>Piloter budget, sécurité, dettes, projets et patrimoine.</t>
  </si>
  <si>
    <t>COL</t>
  </si>
  <si>
    <t>FINCLUDIA Colocation</t>
  </si>
  <si>
    <t>Gérer les dépenses communes sans exposer les finances privées.</t>
  </si>
  <si>
    <t>COU</t>
  </si>
  <si>
    <t>FINCLUDIA Couple</t>
  </si>
  <si>
    <t>Organiser les finances communes et les objectifs partagés.</t>
  </si>
  <si>
    <t>FAM</t>
  </si>
  <si>
    <t>FINCLUDIA Famille</t>
  </si>
  <si>
    <t>Piloter le foyer, les enfants, les dépenses annuelles et les projets.</t>
  </si>
  <si>
    <t>EPG</t>
  </si>
  <si>
    <t>FINCLUDIA Épargne &amp; Investissement</t>
  </si>
  <si>
    <t>Sécuriser, épargner, comprendre le risque et pratiquer en fictif.</t>
  </si>
  <si>
    <t>Chaînes fonctionnelles communes utilisées pour concevoir les parcours et les tests bout en bout.</t>
  </si>
  <si>
    <t>ID</t>
  </si>
  <si>
    <t>Parcours</t>
  </si>
  <si>
    <t>Chaîne fonctionnelle</t>
  </si>
  <si>
    <t>J01</t>
  </si>
  <si>
    <t>Entrer dans FINCLUDIA</t>
  </si>
  <si>
    <t>Connexion → choix profil → diagnostic progressif → premier tableau de bord.</t>
  </si>
  <si>
    <t>J02</t>
  </si>
  <si>
    <t>Construire mon budget</t>
  </si>
  <si>
    <t>Ajouter revenus → catégories → enveloppes → dépenses → prévu/réel → alertes.</t>
  </si>
  <si>
    <t>J03</t>
  </si>
  <si>
    <t>Créer un objectif</t>
  </si>
  <si>
    <t>Catalogue → montant/date → trajectoire → simulation → contribution → suivi.</t>
  </si>
  <si>
    <t>J04</t>
  </si>
  <si>
    <t>Renforcer ma sécurité</t>
  </si>
  <si>
    <t>Dépenses essentielles → épargne liquide → mois de réserve → cible → scénario.</t>
  </si>
  <si>
    <t>J05</t>
  </si>
  <si>
    <t>Comprendre et gérer une dette</t>
  </si>
  <si>
    <t>Ajouter dette → coût/échéances → taux d’effort → scénarios → suivi.</t>
  </si>
  <si>
    <t>J06</t>
  </si>
  <si>
    <t>Préparer un financement</t>
  </si>
  <si>
    <t>Besoin → situation → documents → préparation → simulation → comparaison → export.</t>
  </si>
  <si>
    <t>J07</t>
  </si>
  <si>
    <t>Construire mon patrimoine</t>
  </si>
  <si>
    <t>Ajouter actifs/dettes → valorisations → patrimoine net → historique → concentration.</t>
  </si>
  <si>
    <t>J08</t>
  </si>
  <si>
    <t>Apprendre à investir</t>
  </si>
  <si>
    <t>Diagnostic sécurité → apprentissage → profil pédagogique → portefeuille fictif → journal.</t>
  </si>
  <si>
    <t>J09</t>
  </si>
  <si>
    <t>Gérer à plusieurs</t>
  </si>
  <si>
    <t>Créer espace → inviter → permissions → dépense partagée → soldes → règlements.</t>
  </si>
  <si>
    <t>J10</t>
  </si>
  <si>
    <t>Préparer une dépense annuelle</t>
  </si>
  <si>
    <t>Créer provision → contribution mensuelle → échéance → paiement réel.</t>
  </si>
  <si>
    <t>Catégories standard de revenus, dépenses, objectifs, actifs, dettes et dépenses partagées. « Autre » reste disponible.</t>
  </si>
  <si>
    <t>Famille de catégories</t>
  </si>
  <si>
    <t>Catégorie</t>
  </si>
  <si>
    <t>Statut</t>
  </si>
  <si>
    <t>Revenus / ressources</t>
  </si>
  <si>
    <t>Salaire net</t>
  </si>
  <si>
    <t>Standard ; personnalisable</t>
  </si>
  <si>
    <t>Salaire brut (information)</t>
  </si>
  <si>
    <t>Prime</t>
  </si>
  <si>
    <t>Bourse</t>
  </si>
  <si>
    <t>Aide familiale</t>
  </si>
  <si>
    <t>Allocation / aide</t>
  </si>
  <si>
    <t>Job étudiant</t>
  </si>
  <si>
    <t>Stage rémunéré</t>
  </si>
  <si>
    <t>Freelance / mission</t>
  </si>
  <si>
    <t>Revenu locatif</t>
  </si>
  <si>
    <t>Pension</t>
  </si>
  <si>
    <t>Dividende / revenu de placement déclaré</t>
  </si>
  <si>
    <t>Autre revenu</t>
  </si>
  <si>
    <t>Dépenses fixes / obligatoires</t>
  </si>
  <si>
    <t>Loyer</t>
  </si>
  <si>
    <t>Crédit immobilier</t>
  </si>
  <si>
    <t>Crédit consommation</t>
  </si>
  <si>
    <t>Assurance</t>
  </si>
  <si>
    <t>Copropriété / charges</t>
  </si>
  <si>
    <t>Électricité</t>
  </si>
  <si>
    <t>Gaz</t>
  </si>
  <si>
    <t>Eau</t>
  </si>
  <si>
    <t>Téléphone</t>
  </si>
  <si>
    <t>Internet</t>
  </si>
  <si>
    <t>Transport récurrent</t>
  </si>
  <si>
    <t>Scolarité / études</t>
  </si>
  <si>
    <t>Pension / engagement</t>
  </si>
  <si>
    <t>Abonnement</t>
  </si>
  <si>
    <t>Autre charge fixe</t>
  </si>
  <si>
    <t>Dépenses variables</t>
  </si>
  <si>
    <t>Alimentation / boissons</t>
  </si>
  <si>
    <t>Transport / automobile</t>
  </si>
  <si>
    <t>Santé / hygiène</t>
  </si>
  <si>
    <t>Habillement</t>
  </si>
  <si>
    <t>Maison / équipement</t>
  </si>
  <si>
    <t>Culture / loisirs / sorties</t>
  </si>
  <si>
    <t>Dons / cadeaux</t>
  </si>
  <si>
    <t>Animaux</t>
  </si>
  <si>
    <t>Télécom variable</t>
  </si>
  <si>
    <t>Études / fournitures</t>
  </si>
  <si>
    <t>Autre dépense variable</t>
  </si>
  <si>
    <t>Dépenses saisonnières / provisions</t>
  </si>
  <si>
    <t>Frais d’études</t>
  </si>
  <si>
    <t>Rentrée scolaire</t>
  </si>
  <si>
    <t>Assurance annuelle</t>
  </si>
  <si>
    <t>Entretien / réparation</t>
  </si>
  <si>
    <t>Vacances</t>
  </si>
  <si>
    <t>Fêtes</t>
  </si>
  <si>
    <t>Mariage</t>
  </si>
  <si>
    <t>Équipement</t>
  </si>
  <si>
    <t>Autre dépense annuelle</t>
  </si>
  <si>
    <t>Objectifs</t>
  </si>
  <si>
    <t>Réserve de sécurité</t>
  </si>
  <si>
    <t>Études</t>
  </si>
  <si>
    <t>Ordinateur / équipement</t>
  </si>
  <si>
    <t>Permis</t>
  </si>
  <si>
    <t>Mobilité / stage</t>
  </si>
  <si>
    <t>Voyage</t>
  </si>
  <si>
    <t>Voiture</t>
  </si>
  <si>
    <t>Logement</t>
  </si>
  <si>
    <t>Enfant / études enfant</t>
  </si>
  <si>
    <t>Retraite</t>
  </si>
  <si>
    <t>Projet personnel</t>
  </si>
  <si>
    <t>Épargne / investissement</t>
  </si>
  <si>
    <t>Autre</t>
  </si>
  <si>
    <t>Actifs réels</t>
  </si>
  <si>
    <t>Espèces</t>
  </si>
  <si>
    <t>Compte bancaire</t>
  </si>
  <si>
    <t>CCP</t>
  </si>
  <si>
    <t>Compte d’épargne</t>
  </si>
  <si>
    <t>Immobilier</t>
  </si>
  <si>
    <t>Or</t>
  </si>
  <si>
    <t>Véhicule</t>
  </si>
  <si>
    <t>Participation / entreprise</t>
  </si>
  <si>
    <t>Actions déclarées</t>
  </si>
  <si>
    <t>Obligations / sukuk déclarés</t>
  </si>
  <si>
    <t>Créance</t>
  </si>
  <si>
    <t>Autre actif</t>
  </si>
  <si>
    <t>Dettes / passifs</t>
  </si>
  <si>
    <t>Financement véhicule</t>
  </si>
  <si>
    <t>Dette familiale déclarée</t>
  </si>
  <si>
    <t>Autre dette</t>
  </si>
  <si>
    <t>Dépenses partagées</t>
  </si>
  <si>
    <t>Courses</t>
  </si>
  <si>
    <t>Ménage</t>
  </si>
  <si>
    <t>Équipement commun</t>
  </si>
  <si>
    <t>Transport commun</t>
  </si>
  <si>
    <t>Sorties</t>
  </si>
  <si>
    <t>Projet commun</t>
  </si>
  <si>
    <t>Données, objets métier et validations</t>
  </si>
  <si>
    <t>Référentiel minimal de données nécessaires à l’implémentation et règles communes de validation.</t>
  </si>
  <si>
    <t>Section</t>
  </si>
  <si>
    <t>Élément</t>
  </si>
  <si>
    <t>Description / champs</t>
  </si>
  <si>
    <t>Validation</t>
  </si>
  <si>
    <t>Note</t>
  </si>
  <si>
    <t>Métadonnée obligatoire</t>
  </si>
  <si>
    <t>valeur</t>
  </si>
  <si>
    <t>Montant, score ou valeur métier.</t>
  </si>
  <si>
    <t>devise</t>
  </si>
  <si>
    <t>DZD, EUR, USD… selon le contexte.</t>
  </si>
  <si>
    <t>propriétaire / périmètre</t>
  </si>
  <si>
    <t>Utilisateur, couple, foyer ou espace partagé.</t>
  </si>
  <si>
    <t>source</t>
  </si>
  <si>
    <t>Manuelle, importée, document, partenaire, calculée.</t>
  </si>
  <si>
    <t>référence_source</t>
  </si>
  <si>
    <t>Identifiant ou document source si disponible.</t>
  </si>
  <si>
    <t>date_effet</t>
  </si>
  <si>
    <t>Date à laquelle la donnée s’applique.</t>
  </si>
  <si>
    <t>date_collecte</t>
  </si>
  <si>
    <t>Date d’entrée dans FINCLUDIA.</t>
  </si>
  <si>
    <t>statut</t>
  </si>
  <si>
    <t>Réelle, déclarée, importée, calculée, fictive, officielle, à confirmer.</t>
  </si>
  <si>
    <t>confiance</t>
  </si>
  <si>
    <t>Niveau ou règle de confiance lorsque pertinent.</t>
  </si>
  <si>
    <t>consentement</t>
  </si>
  <si>
    <t>Usages autorisés.</t>
  </si>
  <si>
    <t>version</t>
  </si>
  <si>
    <t>Version de l’objet ou de la règle de calcul.</t>
  </si>
  <si>
    <t>Objet métier</t>
  </si>
  <si>
    <t>Profil</t>
  </si>
  <si>
    <t>user_id, profil_principal, rôles_secondaires, tranche_age, langue, devise, permissions</t>
  </si>
  <si>
    <t>Revenu</t>
  </si>
  <si>
    <t>id, propriétaire, type, montant, devise, fréquence, date_début, source, statut</t>
  </si>
  <si>
    <t>Transaction</t>
  </si>
  <si>
    <t>id, propriétaire/espace, type, montant, devise, date, catégorie, sous-catégorie, source, statut, récurrent</t>
  </si>
  <si>
    <t>Budget</t>
  </si>
  <si>
    <t>période, revenu_prévu, enveloppes[], statut, version</t>
  </si>
  <si>
    <t>Enveloppe</t>
  </si>
  <si>
    <t>catégorie, budget, consommé, engagé, reste, seuils, projection</t>
  </si>
  <si>
    <t>Objectif</t>
  </si>
  <si>
    <t>nom, catégorie, montant_cible, date_cible, capital_affecté, contribution, priorité, statut</t>
  </si>
  <si>
    <t>Dette</t>
  </si>
  <si>
    <t>type, capital_initial, capital_restant, mensualité, taux/coût, dates, objet, propriétaire</t>
  </si>
  <si>
    <t>Actif</t>
  </si>
  <si>
    <t>type, valeur, devise, date_valorisation, propriétaire, liquidité, source, statut</t>
  </si>
  <si>
    <t>Portefeuille fictif</t>
  </si>
  <si>
    <t>capital_fictif, positions[], ordres_fictifs[], prix_simulés, allocation</t>
  </si>
  <si>
    <t>Simulation</t>
  </si>
  <si>
    <t>type, entrées, hypothèses, formule_version, résultats, avertissements, date_calcul</t>
  </si>
  <si>
    <t>Espace partagé</t>
  </si>
  <si>
    <t>id, type, membres, rôles, permissions, règle_répartition, soldes</t>
  </si>
  <si>
    <t>Foyer</t>
  </si>
  <si>
    <t>id, membres, rôles, données_communes, permissions, objectifs, budget</t>
  </si>
  <si>
    <t>Offre référencée</t>
  </si>
  <si>
    <t>id, fournisseur, type, caractéristiques, conditions, frais, source, date_vérification</t>
  </si>
  <si>
    <t>Contenu apprentissage</t>
  </si>
  <si>
    <t>id, version, public, niveau, thèmes, format, progression</t>
  </si>
  <si>
    <t>Notification</t>
  </si>
  <si>
    <t>type, gravité, modèle, données, lien, canal, lu_le</t>
  </si>
  <si>
    <t>Chatbot</t>
  </si>
  <si>
    <t>intention, parcours, étape, modèle_réponse, variables, actions_autorisées</t>
  </si>
  <si>
    <t>Type / validation</t>
  </si>
  <si>
    <t>Montant</t>
  </si>
  <si>
    <t>Décimal ≥ 0 sauf flux signé explicitement</t>
  </si>
  <si>
    <t>Devise obligatoire.</t>
  </si>
  <si>
    <t>Pourcentage</t>
  </si>
  <si>
    <t>Décimal ; plage métier paramétrable</t>
  </si>
  <si>
    <t>Ne pas tronquer silencieusement.</t>
  </si>
  <si>
    <t>Date</t>
  </si>
  <si>
    <t>ISO 8601 côté API</t>
  </si>
  <si>
    <t>Date future autorisée uniquement pour événements planifiés/objectifs.</t>
  </si>
  <si>
    <t>Fréquence</t>
  </si>
  <si>
    <t>ponctuelle, hebdomadaire, mensuelle, trimestrielle, semestrielle, annuelle</t>
  </si>
  <si>
    <t>Normalisation vers période d’analyse.</t>
  </si>
  <si>
    <t>Statut de donnée</t>
  </si>
  <si>
    <t>liste fermée versionnée</t>
  </si>
  <si>
    <t>Une valeur fictive ne peut pas devenir réelle sans action explicite.</t>
  </si>
  <si>
    <t>Identifiant</t>
  </si>
  <si>
    <t>UUID ou identifiant technique stable</t>
  </si>
  <si>
    <t>Jamais dérivé d’une information sensible visible.</t>
  </si>
  <si>
    <t>Spécifications fonctionnelles écran par écran</t>
  </si>
  <si>
    <t>Une ligne par écran. Tous les prérequis, champs, actions, sorties, règles, calculs, états, erreurs, alertes, API, tests et provenance sont centralisés ici.</t>
  </si>
  <si>
    <t>Écran</t>
  </si>
  <si>
    <t>Entrées / prérequis</t>
  </si>
  <si>
    <t>Champs / données d’entrée</t>
  </si>
  <si>
    <t>Actions / boutons</t>
  </si>
  <si>
    <t>Résultats / sorties</t>
  </si>
  <si>
    <t>Règles métier</t>
  </si>
  <si>
    <t>Formules / calculs</t>
  </si>
  <si>
    <t>État vide</t>
  </si>
  <si>
    <t>État chargement</t>
  </si>
  <si>
    <t>État partiel / donnée ancienne</t>
  </si>
  <si>
    <t>Erreurs / validations</t>
  </si>
  <si>
    <t>Notifications / alertes</t>
  </si>
  <si>
    <t>Données / API</t>
  </si>
  <si>
    <t>Événements de suivi</t>
  </si>
  <si>
    <t>Critères d’acceptation</t>
  </si>
  <si>
    <t>Scénario principal</t>
  </si>
  <si>
    <t>C01</t>
  </si>
  <si>
    <t>Connexion / création de compte</t>
  </si>
  <si>
    <t>Créer ou reprendre un compte sans collecter de données financières avant consentement.</t>
  </si>
  <si>
    <t>Email/téléphone ou identifiant, acceptation des conditions requise.</t>
  </si>
  <si>
    <t>Email ou téléphone; mot de passe/PIN selon choix; pays; langue.</t>
  </si>
  <si>
    <t>Créer mon compte; Se connecter;; Mot de passe oublié.</t>
  </si>
  <si>
    <t>Session authentifiée; profil minimal créé; consentements versionnés.</t>
  </si>
  <si>
    <t>Limiter les tentatives; vérifier unicité identifiant; ne pas créer de jumeau financier tant que le profil n’est pas initialisé.</t>
  </si>
  <si>
    <t>Aucun calcul financier.</t>
  </si>
  <si>
    <t>Présentation de la valeur FINCLUDIA et accès au mode découverte.</t>
  </si>
  <si>
    <t>Afficher des squelettes de contenu ; bloquer les doubles soumissions ; conserver les saisies locales lorsque possible.</t>
  </si>
  <si>
    <t>Afficher « Non calculé » ou badge « À mettre à jour » ; ne jamais convertir une absence en zéro.</t>
  </si>
  <si>
    <t>Identifiant invalide; compte existant; code expiré; indisponibilité service.</t>
  </si>
  <si>
    <t>Confirmation création; alerte connexion inhabituelle si mécanisme disponible.</t>
  </si>
  <si>
    <t>POST /auth/register; POST /auth/login; POST /auth/verify; GET /legal/versions</t>
  </si>
  <si>
    <t>c01_viewed ; c01_primary_action ; c01_error</t>
  </si>
  <si>
    <t>Calculs reproductibles ; permissions respectées ; états vide/chargement/erreur testés ; aucune donnée fictive mélangée au réel.</t>
  </si>
  <si>
    <t>L’utilisateur ouvre l’écran, complète les données nécessaires, obtient un résultat explicable puis choisit une action.</t>
  </si>
  <si>
    <t>6. Spécifications détaillées des écrans communs</t>
  </si>
  <si>
    <t>C02</t>
  </si>
  <si>
    <t>Choix du profil et intention</t>
  </si>
  <si>
    <t>Configurer l’expérience initiale sans enfermer définitivement l’utilisateur dans un persona.</t>
  </si>
  <si>
    <t>Compte créé</t>
  </si>
  <si>
    <t>Profil principal; tranche d’âge; situation; intention principale; horizon.</t>
  </si>
  <si>
    <t>Continuer; Je ne sais pas; Modifier plus tard.</t>
  </si>
  <si>
    <t>Persona de départ; modules activés; onboarding adapté.</t>
  </si>
  <si>
    <t>Un seul persona principal au départ; transitions possibles; mineur =&gt; interdiction des fonctions réservées 18+.</t>
  </si>
  <si>
    <t>Règles de segmentation, pas de score.</t>
  </si>
  <si>
    <t>Cartes de profils et intentions.</t>
  </si>
  <si>
    <t>Âge incohérent; combinaison interdite par règle d’âge.</t>
  </si>
  <si>
    <t>Aucune notification externe.</t>
  </si>
  <si>
    <t>GET /config/personas; POST /profile/segment; GET /config/intents</t>
  </si>
  <si>
    <t>c02_viewed ; c02_primary_action ; c02_error</t>
  </si>
  <si>
    <t>C03</t>
  </si>
  <si>
    <t>Onboarding financier progressif</t>
  </si>
  <si>
    <t>Obtenir le minimum de données pour un premier résultat utile.</t>
  </si>
  <si>
    <t>Persona choisi.</t>
  </si>
  <si>
    <t>Revenus/ressources; dépenses essentielles estimées; épargne disponible; dette si pertinente; objectif principal.</t>
  </si>
  <si>
    <t>Continuer; Passer; Pourquoi cette question ?; Enregistrer et quitter.</t>
  </si>
  <si>
    <t>Premier budget, premier indicateur, niveau de complétude.</t>
  </si>
  <si>
    <t>Question conditionnelle; champ facultatif sauf données nécessaires au calcul affiché; chaque donnée conserve source et date.</t>
  </si>
  <si>
    <t>Solde = revenus - dépenses; taux d’épargne si épargne déclarée; réserve si données suffisantes.</t>
  </si>
  <si>
    <t>Message : “Ajoutez votre première information pour obtenir un diagnostic.”</t>
  </si>
  <si>
    <t>Montant négatif interdit selon champ; devise obligatoire; incohérence &gt; seuil =&gt; demander confirmation.</t>
  </si>
  <si>
    <t>Rappel onboarding uniquement opt-in.</t>
  </si>
  <si>
    <t>GET /onboarding/schema?persona=; PATCH /profile; POST /incomes; POST /expenses/estimate; POST /goals</t>
  </si>
  <si>
    <t>c03_viewed ; c03_primary_action ; c03_error</t>
  </si>
  <si>
    <t>C04</t>
  </si>
  <si>
    <t>Accueil — Aujourd’hui</t>
  </si>
  <si>
    <t>Répondre en moins de 10 secondes à “où j’en suis et que dois-je faire maintenant ?”.</t>
  </si>
  <si>
    <t>Profil + au moins une donnée financière ou mode pédagogique.</t>
  </si>
  <si>
    <t>Filtres période; éventuellement compte/foyer.</t>
  </si>
  <si>
    <t>Voir détail; Ajouter une dépense; Mettre à jour; Simuler; Pourquoi ?; Voir mes 3 priorités.</t>
  </si>
  <si>
    <t>3–5 KPI; 1–3 actions; alertes; objectif prioritaire; échéances.</t>
  </si>
  <si>
    <t>Jamais plus de 3 actions; une carte non calculable devient une invitation à compléter les données.</t>
  </si>
  <si>
    <t>Selon persona : solde, taux d’épargne, réserve, dette/revenu, progression objectifs, autonomie, score pédagogique.</t>
  </si>
  <si>
    <t>Cartes “Commencez ici” avec CTA contextualisé.</t>
  </si>
  <si>
    <t>Donnée indisponible =&gt; afficher “non calculé”, jamais 0 par défaut.</t>
  </si>
  <si>
    <t>Alertes budget, échéance, objectif, donnée ancienne selon préférences.</t>
  </si>
  <si>
    <t>GET /tableau de bord?persona=&amp;period=; GET /insights; GET /alerts; GET /goals/priority</t>
  </si>
  <si>
    <t>c04_viewed ; c04_primary_action ; c04_error</t>
  </si>
  <si>
    <t>C05</t>
  </si>
  <si>
    <t>Mon argent — synthèse</t>
  </si>
  <si>
    <t>Centraliser revenus, dépenses, budget et cash disponible.</t>
  </si>
  <si>
    <t>Données réelles ou saisie pédagogique.</t>
  </si>
  <si>
    <t>Période; catégories; membre/foyer si partagé.</t>
  </si>
  <si>
    <t>Ajouter revenu; Ajouter dépense; Créer budget; Voir transactions; Exporter.</t>
  </si>
  <si>
    <t>Revenus, dépenses, flux net, répartition, tendance, prévu/réel.</t>
  </si>
  <si>
    <t>Transactions non catégorisées séparées; calculs utilisent uniquement données au statut admissible.</t>
  </si>
  <si>
    <t>Flux net = revenus - dépenses; écart budget = réel - prévu.</t>
  </si>
  <si>
    <t>CTA : “Ajoutez votre premier revenu ou budget”.</t>
  </si>
  <si>
    <t>Doublon suspect; date future non autorisée sauf dépense planifiée.</t>
  </si>
  <si>
    <t>Budget à 80/100%; transaction récurrente prévue.</t>
  </si>
  <si>
    <t>GET /money/summary; GET/POST /transactions; GET /budgets/current</t>
  </si>
  <si>
    <t>c05_viewed ; c05_primary_action ; c05_error</t>
  </si>
  <si>
    <t>C06</t>
  </si>
  <si>
    <t>Créer / modifier un budget</t>
  </si>
  <si>
    <t>Planifier les ressources et dépenses par catégorie.</t>
  </si>
  <si>
    <t>Devise, période, revenus disponibles ou estimés.</t>
  </si>
  <si>
    <t>Période; revenus prévus; catégories; montants; type fixe/variable; récurrence; plafond optionnel.</t>
  </si>
  <si>
    <t>Enregistrer; Répartir automatiquement selon historique; Ajouter catégorie; Réinitialiser; Comparer au réel.</t>
  </si>
  <si>
    <t>Budget total; reste non affecté; alertes de cohérence.</t>
  </si>
  <si>
    <t>Montants personnalisables; catégories créées par utilisateur; ne jamais imposer une norme comportementale comme vérité.</t>
  </si>
  <si>
    <t>Reste à affecter = revenus prévus - somme enveloppes; écart réel = dépense réelle - budget catégorie.</t>
  </si>
  <si>
    <t>Modèle vide avec catégories suggérées selon persona.</t>
  </si>
  <si>
    <t>Budget &gt; revenu : autorisé mais signalé; montant invalide; chevauchement période.</t>
  </si>
  <si>
    <t>Seuils 80%, 100%, dépassement configurables.</t>
  </si>
  <si>
    <t>GET/POST/PATCH /budgets; GET /categories; GET /transactions/aggregate</t>
  </si>
  <si>
    <t>c06_viewed ; c06_primary_action ; c06_error</t>
  </si>
  <si>
    <t>C07</t>
  </si>
  <si>
    <t>Ajouter une dépense / revenu</t>
  </si>
  <si>
    <t>Saisie rapide et fiable d’un flux.</t>
  </si>
  <si>
    <t>Utilisateur authentifié; espace personnel ou partagé sélectionné.</t>
  </si>
  <si>
    <t>Type; montant; devise; date; catégorie; sous-catégorie; mode de paiement; note; justificatif optionnel; partagé oui/non.</t>
  </si>
  <si>
    <t>Enregistrer; Enregistrer et ajouter; Scanner/importer (phase ultérieure); Annuler.</t>
  </si>
  <si>
    <t>Transaction créée; budget et tableau de bord recalculés.</t>
  </si>
  <si>
    <t>Dépense partagée exige allocation; une transaction importée garde sa provenance; correction ne supprime pas l’original si audit requis.</t>
  </si>
  <si>
    <t>Conversion éventuelle via taux enregistré; pas de conversion implicite sans date/taux.</t>
  </si>
  <si>
    <t>Formulaire prêt à saisir.</t>
  </si>
  <si>
    <t>Montant &lt;=0; date invalide; catégorie manquante si obligatoire.</t>
  </si>
  <si>
    <t>Confirmation; alerte dépassement si la transaction déclenche un seuil.</t>
  </si>
  <si>
    <t>POST /transactions; GET /categories; POST /attachments; GET /fx/rate?date=</t>
  </si>
  <si>
    <t>c07_viewed ; c07_primary_action ; c07_error</t>
  </si>
  <si>
    <t>C08</t>
  </si>
  <si>
    <t>Historique &amp; recherche des transactions</t>
  </si>
  <si>
    <t>Retrouver, filtrer et corriger les flux.</t>
  </si>
  <si>
    <t>Au moins une transaction.</t>
  </si>
  <si>
    <t>Recherche texte; date; montant min/max; catégorie; type; membre; source; statut.</t>
  </si>
  <si>
    <t>Filtrer; Trier; Modifier catégorie; Marquer récurrent; Exporter; Supprimer/annuler selon règles.</t>
  </si>
  <si>
    <t>Liste paginée; totaux filtrés; tendances.</t>
  </si>
  <si>
    <t>Suppression logique si la donnée alimente un historique audit; correction traçable.</t>
  </si>
  <si>
    <t>Total filtré = somme transactions visibles; moyenne période optionnelle.</t>
  </si>
  <si>
    <t>“Aucune transaction pour cette période” + Ajouter.</t>
  </si>
  <si>
    <t>Filtre incohérent; édition interdite pour source verrouillée.</t>
  </si>
  <si>
    <t>Aucune par défaut.</t>
  </si>
  <si>
    <t>GET /transactions?query=&amp;filters; PATCH /transactions/{id}; POST /exports</t>
  </si>
  <si>
    <t>c08_viewed ; c08_primary_action ; c08_error</t>
  </si>
  <si>
    <t>C09</t>
  </si>
  <si>
    <t>Objectifs — catalogue</t>
  </si>
  <si>
    <t>Permettre de commencer par un projet de vie.</t>
  </si>
  <si>
    <t>Profil et persona.</t>
  </si>
  <si>
    <t>Recherche; catégorie; horizon; montant approximatif.</t>
  </si>
  <si>
    <t>Créer cet objectif; Explorer; Objectif personnalisé.</t>
  </si>
  <si>
    <t>Catalogue contextualisé : urgence, études, permis, voiture, logement, voyage, mariage, enfant, retraite, projet, investissement.</t>
  </si>
  <si>
    <t>Les catégories sont des modèles; l’utilisateur peut toujours créer “Autre”.</t>
  </si>
  <si>
    <t>Aucun calcul avant montant/horizon.</t>
  </si>
  <si>
    <t>Catalogue avec exemples.</t>
  </si>
  <si>
    <t>Montant/horizon manquant seulement lors de la création.</t>
  </si>
  <si>
    <t>Aucune.</t>
  </si>
  <si>
    <t>GET /goals/templates; GET /search/goals</t>
  </si>
  <si>
    <t>c09_viewed ; c09_primary_action ; c09_error</t>
  </si>
  <si>
    <t>C10</t>
  </si>
  <si>
    <t>Configurer une cible et une trajectoire.</t>
  </si>
  <si>
    <t>Objectif choisi ou libre.</t>
  </si>
  <si>
    <t>Nom; montant cible; devise; date cible; capital déjà affecté; priorité; contribution mensuelle optionnelle.</t>
  </si>
  <si>
    <t>Créer; Simuler avant de créer; Annuler.</t>
  </si>
  <si>
    <t>Objectif, progression initiale, contribution nécessaire si calculable.</t>
  </si>
  <si>
    <t>Capital affecté ne doit pas excéder épargne réellement marquée sauf objectif fictif; date cible future.</t>
  </si>
  <si>
    <t>Progression = capital affecté / cible; versement sans rendement = (cible-capital)/mois restants.</t>
  </si>
  <si>
    <t>Valeurs exemples selon catégorie, non présélectionnées comme recommandation.</t>
  </si>
  <si>
    <t>Date passée; cible &lt;= capital =&gt; proposer objectif atteint.</t>
  </si>
  <si>
    <t>Rappel contribution opt-in.</t>
  </si>
  <si>
    <t>POST /goals; POST /simulations/goal; GET /money/capacity</t>
  </si>
  <si>
    <t>c10_viewed ; c10_primary_action ; c10_error</t>
  </si>
  <si>
    <t>C11</t>
  </si>
  <si>
    <t>Détail objectif / Moteur d’objectifs financiers</t>
  </si>
  <si>
    <t>Montrer trajectoire, écarts et scénarios modifiables.</t>
  </si>
  <si>
    <t>Objectif existant.</t>
  </si>
  <si>
    <t>Contribution; horizon; inflation; rendement hypothétique; hausse annuelle épargne; scénario.</t>
  </si>
  <si>
    <t>Mettre à jour; Adapter mon budget; Comparer scénarios; Marquer contribution; Mettre en pause.</t>
  </si>
  <si>
    <t>Courbe; date estimée; capital nominal/réel; manque/excédent; contribution nécessaire.</t>
  </si>
  <si>
    <t>Hypothèses toujours visibles et modifiables; résultat = simulation, pas promesse.</t>
  </si>
  <si>
    <t>FV versements; valeur réelle = valeur nominale/(1+inflation)^n; date atteinte par itération mensuelle.</t>
  </si>
  <si>
    <t>“Ajoutez un montant cible et une date pour simuler.”</t>
  </si>
  <si>
    <t>Hypothèses hors bornes configurées; rendement négatif autorisé si simulation.</t>
  </si>
  <si>
    <t>Objectif en retard; jalon atteint; contribution oubliée.</t>
  </si>
  <si>
    <t>GET/PATCH /goals/{id}; POST /simulations/goal; GET /assumptions/defaults</t>
  </si>
  <si>
    <t>c11_viewed ; c11_primary_action ; c11_error</t>
  </si>
  <si>
    <t>C12</t>
  </si>
  <si>
    <t>Mesurer la capacité à absorber un imprévu.</t>
  </si>
  <si>
    <t>Épargne liquide et dépenses essentielles.</t>
  </si>
  <si>
    <t>Épargne liquide retenue; dépenses essentielles; cible en mois.</t>
  </si>
  <si>
    <t>Modifier cible; Ajouter épargne; Simuler; Voir composition.</t>
  </si>
  <si>
    <t>Mois de réserve; montant cible; écart; date estimée.</t>
  </si>
  <si>
    <t>Ne pas compter portefeuille fictif; actifs illiquides exclus par défaut; possibilité d’expliquer chaque inclusion.</t>
  </si>
  <si>
    <t>Mois réserve = épargne liquide / dépenses essentielles mensuelles; manque = cible*essentielles - épargne liquide.</t>
  </si>
  <si>
    <t>“Ajoutez vos dépenses essentielles et votre épargne disponible.”</t>
  </si>
  <si>
    <t>Dépenses essentielles = 0 =&gt; non calculable.</t>
  </si>
  <si>
    <t>Réserve sous seuil choisi; cible atteinte.</t>
  </si>
  <si>
    <t>GET /safety-fund; PATCH /safety-fund/settings; POST /simulations/savings</t>
  </si>
  <si>
    <t>c12_viewed ; c12_primary_action ; c12_error</t>
  </si>
  <si>
    <t>C13</t>
  </si>
  <si>
    <t>Dettes — synthèse</t>
  </si>
  <si>
    <t>Visualiser poids, échéances et priorités de remboursement.</t>
  </si>
  <si>
    <t>Une ou plusieurs dettes déclarées.</t>
  </si>
  <si>
    <t>Filtres type; statut; prêteur; personne/foyer.</t>
  </si>
  <si>
    <t>Ajouter dette; Simuler remboursement; Voir détail; Prioriser.</t>
  </si>
  <si>
    <t>Encours; mensualités; taux d’effort; échéances; Indice pédagogique d’équilibre de l’endettement.</t>
  </si>
  <si>
    <t>Ne pas qualifier moralement “bonne/mauvaise”; utiliser productive/neutre/pression si informations suffisantes.</t>
  </si>
  <si>
    <t>Taux effort = mensualités obligatoires/revenus nets; encours total = somme capital restant.</t>
  </si>
  <si>
    <t>“Aucune dette enregistrée” + Ajouter ou Continuer sans dette.</t>
  </si>
  <si>
    <t>Mensualité &gt; encours incohérente selon produit; dates invalides.</t>
  </si>
  <si>
    <t>Échéance proche; dette sous pression; retard déclaré.</t>
  </si>
  <si>
    <t>GET/POST /debts; GET /debt/summary; POST /simulations/debt</t>
  </si>
  <si>
    <t>c13_viewed ; c13_primary_action ; c13_error</t>
  </si>
  <si>
    <t>C14</t>
  </si>
  <si>
    <t>Détail dette / Analyse de l’endettement</t>
  </si>
  <si>
    <t>Expliquer le coût et tester des plans de remboursement.</t>
  </si>
  <si>
    <t>Dette existante.</t>
  </si>
  <si>
    <t>Capital restant; mensualité; coût/taux si connu; échéance; objet; actif financé; versement supplémentaire.</t>
  </si>
  <si>
    <t>Simuler avalanche; Simuler snowball; Ajouter paiement; Modifier; Voir impact.</t>
  </si>
  <si>
    <t>Coût restant estimé; date zéro dette; économie temps/coût selon scénario.</t>
  </si>
  <si>
    <t>Scénarios indicatifs; remboursement anticipé doit tenir compte des frais si renseignés; ne jamais affirmer possibilité contractuelle non vérifiée.</t>
  </si>
  <si>
    <t>Amortissement selon paramètres disponibles; si taux inconnu, afficher uniquement scénarios de principal.</t>
  </si>
  <si>
    <t>“Ajoutez taux/coût pour une estimation complète.”</t>
  </si>
  <si>
    <t>Taux non numérique; versement &gt; contraintes configurées.</t>
  </si>
  <si>
    <t>Paiement prévu; objectif zéro dette jalon.</t>
  </si>
  <si>
    <t>GET/PATCH /debts/{id}; POST /simulations/debt/{id}</t>
  </si>
  <si>
    <t>c14_viewed ; c14_primary_action ; c14_error</t>
  </si>
  <si>
    <t>C15</t>
  </si>
  <si>
    <t>Décodeur de fiche de paie</t>
  </si>
  <si>
    <t>Expliquer une fiche de paie saisie/importée.</t>
  </si>
  <si>
    <t>Utilisateur 18+ ou contenu pédagogique; document ou saisie manuelle.</t>
  </si>
  <si>
    <t>Salaire brut; retenues; cotisations; IRG; primes; net; période; source.</t>
  </si>
  <si>
    <t>Importer; Saisir manuellement; Expliquer une ligne; Ajouter au revenu mensuel.</t>
  </si>
  <si>
    <t>Décomposition; net; taux de retenue; éléments non reconnus.</t>
  </si>
  <si>
    <t>En MVP, extraction peut être manuelle/assistée sans prétendre certifier la fiche; lignes inconnues restent “à confirmer”.</t>
  </si>
  <si>
    <t>Net = brut + éléments positifs - retenues si structure fournie; aucune déduction légale inventée.</t>
  </si>
  <si>
    <t>“Importez ou saisissez les lignes de votre fiche de paie.”</t>
  </si>
  <si>
    <t>Document illisible; somme incohérente; champ obligatoire absent.</t>
  </si>
  <si>
    <t>Fiche ajoutée; revenu mis à jour après confirmation.</t>
  </si>
  <si>
    <t>POST /salary-slips; GET /salary-slips/{id}; POST /salary-slips/{id}/confirm</t>
  </si>
  <si>
    <t>c15_viewed ; c15_primary_action ; c15_error</t>
  </si>
  <si>
    <t>C16</t>
  </si>
  <si>
    <t>Patrimoine réel</t>
  </si>
  <si>
    <t>Consolider actifs et passifs réellement déclarés/importés.</t>
  </si>
  <si>
    <t>Profil avancé et données réelles.</t>
  </si>
  <si>
    <t>Actifs/passifs; valeur; devise; date valorisation; propriétaire; source; liquidité; notes.</t>
  </si>
  <si>
    <t>Ajouter actif; Ajouter dette; Mettre à jour valeur; Voir historique; Exporter.</t>
  </si>
  <si>
    <t>Patrimoine net; allocation par type; évolution; fraîcheur.</t>
  </si>
  <si>
    <t>Chaque position porte statut Réel/Déclaré/Importé/Calculé; le fictif est interdit ici.</t>
  </si>
  <si>
    <t>Patrimoine net = somme actifs réels - dettes réelles; conversion selon taux daté si devise différente.</t>
  </si>
  <si>
    <t>“Construisez votre patrimoine en ajoutant un premier actif ou passif.”</t>
  </si>
  <si>
    <t>Valeur non positive; date impossible; devise manquante.</t>
  </si>
  <si>
    <t>Valeur ancienne; variation importante après mise à jour.</t>
  </si>
  <si>
    <t>GET/POST /assets; GET/POST /liabilities; GET /wealth/summary; GET /valuations</t>
  </si>
  <si>
    <t>c16_viewed ; c16_primary_action ; c16_error</t>
  </si>
  <si>
    <t>C17</t>
  </si>
  <si>
    <t>Apprendre et simuler sans modifier le patrimoine réel.</t>
  </si>
  <si>
    <t>Utilisateur ayant accès à Investir &amp; simuler.</t>
  </si>
  <si>
    <t>Capital fictif; instrument; quantité; prix simulé; date; frais simulés; allocation cible.</t>
  </si>
  <si>
    <t>Acheter fictivement; Vendre; Rééquilibrer; Réinitialiser; Comparer au scénario.</t>
  </si>
  <si>
    <t>Valeur fictive; rendement; allocation; volatilité pédagogique si données disponibles.</t>
  </si>
  <si>
    <t>Badge “SIMULATION” permanent; aucune valeur fictive n’alimente le patrimoine réel; pas d’exécution.</t>
  </si>
  <si>
    <t>P&amp;L = valeur actuelle simulée - coût simulé; rendement % = P&amp;L/coût; autres mesures seulement si données fiables.</t>
  </si>
  <si>
    <t>Portefeuille fictif vide + Commencer avec 100 000 DA fictifs (modifiable).</t>
  </si>
  <si>
    <t>Instrument indisponible; quantité invalide; prix manquant.</t>
  </si>
  <si>
    <t>Jalon pédagogique; allocation concentrée =&gt; message éducatif, pas alarme financière.</t>
  </si>
  <si>
    <t>GET/POST /paper-portfolios; POST /paper-orders; GET /market/reference-data</t>
  </si>
  <si>
    <t>c17_viewed ; c17_primary_action ; c17_error</t>
  </si>
  <si>
    <t>C18</t>
  </si>
  <si>
    <t>Atelier de simulation</t>
  </si>
  <si>
    <t>Point d’entrée unique pour tous les calculateurs.</t>
  </si>
  <si>
    <t>Profil ou mode découverte.</t>
  </si>
  <si>
    <t>Recherche type de simulation; paramètres selon simulateur.</t>
  </si>
  <si>
    <t>Lancer; Modifier hypothèses; Enregistrer scénario; Comparer; Partager/exporter.</t>
  </si>
  <si>
    <t>Résultat, hypothèses, sensibilité, avertissement indicatif.</t>
  </si>
  <si>
    <t>Chaque simulateur porte version de formule; hypothèses sauvegardées avec résultat.</t>
  </si>
  <si>
    <t>Selon simulateur : budget, épargne, inflation, dette, crédit, immobilier, retraite, patrimoine.</t>
  </si>
  <si>
    <t>Catalogue de simulateurs et exemples.</t>
  </si>
  <si>
    <t>Paramètre manquant; valeur hors plage; calcul impossible.</t>
  </si>
  <si>
    <t>Aucune notification sauf scénario sauvegardé/jalon.</t>
  </si>
  <si>
    <t>GET /simulators; POST /simulations/{type}; GET /simulations/{id}</t>
  </si>
  <si>
    <t>c18_viewed ; c18_primary_action ; c18_error</t>
  </si>
  <si>
    <t>C19</t>
  </si>
  <si>
    <t>Moteur de comparaison</t>
  </si>
  <si>
    <t>Comparer plusieurs options avec des critères homogènes.</t>
  </si>
  <si>
    <t>2 à 3 scénarios/offres/solutions.</t>
  </si>
  <si>
    <t>Options; critères; poids utilisateur optionnels; hypothèses.</t>
  </si>
  <si>
    <t>Ajouter option; Retirer; Modifier critère; Exporter; Approfondir.</t>
  </si>
  <si>
    <t>Tableau comparatif : coût, durée, liquidité, risque, frais, conditions, compatibilité.</t>
  </si>
  <si>
    <t>Ne pas produire de classement opaque; si score synthétique, poids visibles et éditables; données manquantes explicites.</t>
  </si>
  <si>
    <t>Score optionnel = somme critères normalisés*poids, affiché seulement si méthodologie comprise.</t>
  </si>
  <si>
    <t>“Ajoutez au moins deux options à comparer.”</t>
  </si>
  <si>
    <t>Données non comparables; devises/horizons différents =&gt; demander normalisation.</t>
  </si>
  <si>
    <t>POST /comparisons; GET /offers/{id}; GET /assumptions</t>
  </si>
  <si>
    <t>c19_viewed ; c19_primary_action ; c19_error</t>
  </si>
  <si>
    <t>C20</t>
  </si>
  <si>
    <t>Explorer / recherche de solutions</t>
  </si>
  <si>
    <t>Chercher des catégories de solutions et produits référencés.</t>
  </si>
  <si>
    <t>Utilisateur éligible selon âge et contexte.</t>
  </si>
  <si>
    <t>Recherche libre; besoin; montant; horizon; type; établissement; caractéristiques.</t>
  </si>
  <si>
    <t>Rechercher; Filtrer; Comparer; Sauvegarder; Voir source.</t>
  </si>
  <si>
    <t>Résultats datés, source, fraîcheur, critères publics, informations manquantes.</t>
  </si>
  <si>
    <t>Pas d’affirmation d’éligibilité; afficher “compatibilité apparente selon critères publics” seulement si toutes les règles sont explicites.</t>
  </si>
  <si>
    <t>Filtrage/règles déterministes; aucun ranking personnalisé opaque.</t>
  </si>
  <si>
    <t>“Décrivez votre besoin : voiture, logement, épargne…”</t>
  </si>
  <si>
    <t>Aucun résultat; source trop ancienne; filtre trop restrictif.</t>
  </si>
  <si>
    <t>Alerte offre sauvegardée uniquement opt-in et si dispositif de veille existe.</t>
  </si>
  <si>
    <t>GET /search/offers; GET /offers; GET /providers; GET /offer-sources</t>
  </si>
  <si>
    <t>c20_viewed ; c20_primary_action ; c20_error</t>
  </si>
  <si>
    <t>C21</t>
  </si>
  <si>
    <t>Apprendre — recherche &amp; contenu</t>
  </si>
  <si>
    <t>Donner une explication contextualisée et actionnable.</t>
  </si>
  <si>
    <t>Tous.</t>
  </si>
  <si>
    <t>Recherche; niveau; thème; format.</t>
  </si>
  <si>
    <t>Lire; Voir exemple; Simuler; Quiz; Ajouter aux favoris.</t>
  </si>
  <si>
    <t>Résultats cours, glossaire, mini-guides, quiz; progression.</t>
  </si>
  <si>
    <t>Contenu versionné; niveau adapté au persona; aucun contenu ne remplace conseil réglementé.</t>
  </si>
  <si>
    <t>Score quiz = réponses correctes/total; Indice de connaissances financières utilise règles séparées.</t>
  </si>
  <si>
    <t>Suggestions par public.</t>
  </si>
  <si>
    <t>Contenu indisponible; quiz expiré/version remplacée.</t>
  </si>
  <si>
    <t>Rappel d’apprentissage opt-in; badge progression.</t>
  </si>
  <si>
    <t>GET /learning/search; GET /learning/content/{id}; POST /learning/progress; POST /quizzes/{id}/submit</t>
  </si>
  <si>
    <t>c21_viewed ; c21_primary_action ; c21_error</t>
  </si>
  <si>
    <t>C22</t>
  </si>
  <si>
    <t>Recherche globale</t>
  </si>
  <si>
    <t>Trouver un écran, une transaction, un objectif, un contenu ou une solution depuis une seule barre.</t>
  </si>
  <si>
    <t>Session active.</t>
  </si>
  <si>
    <t>Texte; filtres type; période; espace personnel/partagé.</t>
  </si>
  <si>
    <t>Ouvrir résultat; Filtrer; Effacer; Voir tous.</t>
  </si>
  <si>
    <t>Résultats groupés : Actions, Mes données, Objectifs, Apprendre, Explorer.</t>
  </si>
  <si>
    <t>Recherche locale de données privées strictement cloisonnée; résultats financiers seulement pour l’utilisateur autorisé.</t>
  </si>
  <si>
    <t>Recherche lexicale + index métier; synonymes configurés; pas d’interprétation générative.</t>
  </si>
  <si>
    <t>Recherches suggérées selon persona.</t>
  </si>
  <si>
    <t>Aucun résultat =&gt; reformulations et catégories disponibles.</t>
  </si>
  <si>
    <t>GET /search/global?q=&amp;types=; GET /search/suggestions</t>
  </si>
  <si>
    <t>c22_viewed ; c22_primary_action ; c22_error</t>
  </si>
  <si>
    <t>C23</t>
  </si>
  <si>
    <t>Calendrier financier</t>
  </si>
  <si>
    <t>Anticiper dépenses, revenus et échéances.</t>
  </si>
  <si>
    <t>Transactions planifiées, objectifs ou dettes.</t>
  </si>
  <si>
    <t>Vue mois/semaine; type; membre; statut; ajouter événement.</t>
  </si>
  <si>
    <t>Planifier paiement; Marquer payé; Modifier; Reporter; Ouvrir dette/facture.</t>
  </si>
  <si>
    <t>Calendrier + total prévu par période + jours de tension.</t>
  </si>
  <si>
    <t>Un événement planifié n’est pas une transaction réelle avant confirmation; empêcher double comptage.</t>
  </si>
  <si>
    <t>Cash projeté simple = cash début + revenus planifiés - dépenses planifiées.</t>
  </si>
  <si>
    <t>“Aucune échéance prévue.”</t>
  </si>
  <si>
    <t>Date passée non traitée =&gt; proposer marquer payé/ignoré.</t>
  </si>
  <si>
    <t>Rappels J-7/J-1 configurables.</t>
  </si>
  <si>
    <t>GET/POST /calendar-events; GET /cashflow/projected</t>
  </si>
  <si>
    <t>c23_viewed ; c23_primary_action ; c23_error</t>
  </si>
  <si>
    <t>C24</t>
  </si>
  <si>
    <t>Centre de notifications</t>
  </si>
  <si>
    <t>Centraliser alertes financières, rappels et informations produit.</t>
  </si>
  <si>
    <t>Notifications générées.</t>
  </si>
  <si>
    <t>Filtres : action, information, sécurité; lu/non lu.</t>
  </si>
  <si>
    <t>Ouvrir; Marquer lu; Désactiver type; Tout marquer lu.</t>
  </si>
  <si>
    <t>Liste chronologique avec CTA profond.</t>
  </si>
  <si>
    <t>Priorité sécurité &gt; échéance &gt; budget &gt; apprentissage; éviter répétition; quotas configurables.</t>
  </si>
  <si>
    <t>Pas de calcul.</t>
  </si>
  <si>
    <t>“Vous n’avez aucune notification.”</t>
  </si>
  <si>
    <t>Lien cible supprimé =&gt; ouvrir écran parent.</t>
  </si>
  <si>
    <t>Push/email/in-app selon consentement.</t>
  </si>
  <si>
    <t>GET /notifications; PATCH /notifications/{id}; PATCH /notification-preferences</t>
  </si>
  <si>
    <t>c24_viewed ; c24_primary_action ; c24_error</t>
  </si>
  <si>
    <t>C25</t>
  </si>
  <si>
    <t>Centre de confiance &amp; données</t>
  </si>
  <si>
    <t>Permettre à l’utilisateur de comprendre et contrôler ses données.</t>
  </si>
  <si>
    <t>Compte authentifié.</t>
  </si>
  <si>
    <t>Sources; consentements; exports; suppressions; appareils; fraîcheur.</t>
  </si>
  <si>
    <t>Corriger; Exporter; Retirer consentement; Supprimer; Voir historique; Déconnecter appareil.</t>
  </si>
  <si>
    <t>Inventaire données, origine, date, statut, usage autorisé.</t>
  </si>
  <si>
    <t>Retrait de consentement bloque usages dépendants; suppression suit politique légale; actions sensibles réauthentifiées.</t>
  </si>
  <si>
    <t>Score de complétude possible = champs utiles renseignés/champs utiles, jamais score de solvabilité.</t>
  </si>
  <si>
    <t>“Aucune source externe connectée.”</t>
  </si>
  <si>
    <t>Action impossible si obligation de conservation =&gt; expliquer.</t>
  </si>
  <si>
    <t>Confirmation modification consentement / export prêt.</t>
  </si>
  <si>
    <t>GET /data-inventory; GET/PATCH /consents; POST /exports; DELETE /data/{scope}; GET /sessions</t>
  </si>
  <si>
    <t>c25_viewed ; c25_primary_action ; c25_error</t>
  </si>
  <si>
    <t>C26</t>
  </si>
  <si>
    <t>Chatbot simple FINCLUDIA</t>
  </si>
  <si>
    <t>Aider à naviguer, expliquer des termes et lancer des parcours prédéfinis sans IA générative.</t>
  </si>
  <si>
    <t>Accessible via bouton Aide.</t>
  </si>
  <si>
    <t>Message court; boutons de réponse rapide; choix de thème; contexte écran.</t>
  </si>
  <si>
    <t>Questions suggérées; Oui/Non; Ouvrir écran; Recommencer; Parler au support si disponible.</t>
  </si>
  <si>
    <t>Réponse modèle + données calculées + liens; arbre de décision; FAQ.</t>
  </si>
  <si>
    <t>Intentions limitées et configurées; si confiance lexicale insuffisante, afficher choix; ne jamais générer une recommandation; journaliser intent/flow/template_version.</t>
  </si>
  <si>
    <t>Aucun calcul propre : appelle les Calculation APIs puis injecte les valeurs dans un template contrôlé.</t>
  </si>
  <si>
    <t>“Bonjour, je peux vous aider à : comprendre un chiffre / trouver un écran / lancer une simulation / expliquer un terme.”</t>
  </si>
  <si>
    <t>Message non compris =&gt; “Je n’ai pas compris. Choisissez une option…”; API indisponible =&gt; réponse de secours.</t>
  </si>
  <si>
    <t>Pas de push autonome; uniquement interaction utilisateur.</t>
  </si>
  <si>
    <t>POST /chatbot/resolve-intent; GET /chatbot/flows/{id}; POST /chatbot/step; GET /faq/search; appels read-only vers API métier</t>
  </si>
  <si>
    <t>c26_viewed ; c26_primary_action ; c26_error</t>
  </si>
  <si>
    <t>CO01</t>
  </si>
  <si>
    <t>Créer une colocation</t>
  </si>
  <si>
    <t>Initialiser un espace partagé.</t>
  </si>
  <si>
    <t>Utilisateur authentifié.</t>
  </si>
  <si>
    <t>Nom logement/groupe; devise; membres; date début; catégories communes; règle par défaut.</t>
  </si>
  <si>
    <t>Créer; Inviter; Ajouter plus tard.</t>
  </si>
  <si>
    <t>Espace + invitations.</t>
  </si>
  <si>
    <t>Pas de revenus personnels demandés; dépenses privées restent hors espace.</t>
  </si>
  <si>
    <t>Aucun calcul.</t>
  </si>
  <si>
    <t>“Invitez vos colocataires ou commencez seul.”</t>
  </si>
  <si>
    <t>Invitation invalide.</t>
  </si>
  <si>
    <t>Invitation.</t>
  </si>
  <si>
    <t>POST /shared-spaces type=colocation; POST /invites</t>
  </si>
  <si>
    <t>co01_viewed ; co01_primary_action ; co01_error</t>
  </si>
  <si>
    <t>12. Parcours Colocataire</t>
  </si>
  <si>
    <t>CO02</t>
  </si>
  <si>
    <t>Tableau de bord colocation</t>
  </si>
  <si>
    <t>Voir dépenses du mois, factures et soldes.</t>
  </si>
  <si>
    <t>Espace colocation.</t>
  </si>
  <si>
    <t>Mois; catégorie.</t>
  </si>
  <si>
    <t>Ajouter dépense; Régler; Ajouter facture; Voir qui doit quoi.</t>
  </si>
  <si>
    <t>Dépenses communes; budget; factures restantes; mon solde; règlements suggérés.</t>
  </si>
  <si>
    <t>Montants personnels hors espace invisibles.</t>
  </si>
  <si>
    <t>Solde et optimisation via P02/P03.</t>
  </si>
  <si>
    <t>“Aucune dépense commune ce mois-ci.”</t>
  </si>
  <si>
    <t>Données de membre supprimé =&gt; conserver historique anonymisé selon politique.</t>
  </si>
  <si>
    <t>Facture proche; solde à régler.</t>
  </si>
  <si>
    <t>GET /shared-spaces/{id}/tableau de bord; balances; calendar</t>
  </si>
  <si>
    <t>co02_viewed ; co02_primary_action ; co02_error</t>
  </si>
  <si>
    <t>CO03</t>
  </si>
  <si>
    <t>Factures &amp; abonnements communs</t>
  </si>
  <si>
    <t>Suivre loyer, internet, énergie et services.</t>
  </si>
  <si>
    <t>Espace actif.</t>
  </si>
  <si>
    <t>Nom; montant estimé/réel; fréquence; échéance; payeur prévu; partage.</t>
  </si>
  <si>
    <t>Ajouter; Marquer payé; Répartir; Modifier.</t>
  </si>
  <si>
    <t>Calendrier + historique.</t>
  </si>
  <si>
    <t>Un paiement confirmé génère une dépense partagée; éviter double création.</t>
  </si>
  <si>
    <t>Quote-parts selon règle.</t>
  </si>
  <si>
    <t>“Ajoutez votre première facture commune.”</t>
  </si>
  <si>
    <t>Échéance ou règle invalide.</t>
  </si>
  <si>
    <t>J-7/J-1.</t>
  </si>
  <si>
    <t>GET/POST /shared-bills; POST /shared-bills/{id}/pay</t>
  </si>
  <si>
    <t>co03_viewed ; co03_primary_action ; co03_error</t>
  </si>
  <si>
    <t>CO04</t>
  </si>
  <si>
    <t>Enveloppes communes</t>
  </si>
  <si>
    <t>Piloter des budgets communs par catégorie sans exposer les finances privées.</t>
  </si>
  <si>
    <t>Profil colocataire actif lorsque pertinent.</t>
  </si>
  <si>
    <t>catégorie ; budget ; période ; participants ; règles de contribution</t>
  </si>
  <si>
    <t>Créer enveloppe ; Affecter dépense ; Modifier budget ; Clôturer période</t>
  </si>
  <si>
    <t>consommé ; engagé ; reste ; projection ; parts de chacun</t>
  </si>
  <si>
    <t>Seules les transactions explicitement partagées alimentent l’enveloppe commune.</t>
  </si>
  <si>
    <t>reste = budget - consommé ; projection selon rythme de période</t>
  </si>
  <si>
    <t>Présenter l’utilité de l’écran et proposer une première action : « Commencer » ou « Ajouter ».</t>
  </si>
  <si>
    <t>Budget &lt;=0 ; participant sans permission.</t>
  </si>
  <si>
    <t>Seuil 80/100/110 % configurable.</t>
  </si>
  <si>
    <t>GET/POST /v1/groups/{id}/envelopes</t>
  </si>
  <si>
    <t>co04_viewed ; co04_primary_action ; co04_error</t>
  </si>
  <si>
    <t>Colocataires suivent ensemble l’enveloppe Courses.</t>
  </si>
  <si>
    <t>CO05</t>
  </si>
  <si>
    <t>Accord financier de colocation</t>
  </si>
  <si>
    <t>Formaliser les règles communes : qui paie quoi, quand et selon quelle méthode.</t>
  </si>
  <si>
    <t>membres ; catégories ; mode de partage ; responsabilités ; dates ; règles exceptionnelles</t>
  </si>
  <si>
    <t>Proposer ; Accepter ; Refuser ; Modifier ; Archiver</t>
  </si>
  <si>
    <t>accord versionné ; responsabilités ; date d’entrée en vigueur ; historique</t>
  </si>
  <si>
    <t>Un accord n’a d’effet dans FINCLUDIA qu’après confirmation des membres concernés.</t>
  </si>
  <si>
    <t>Aucune formule, sauf règles de répartition sélectionnées.</t>
  </si>
  <si>
    <t>Membre non confirmé ; règle contradictoire.</t>
  </si>
  <si>
    <t>Nouvelle version à accepter.</t>
  </si>
  <si>
    <t>GET/POST /v1/groups/{id}/agreements</t>
  </si>
  <si>
    <t>co05_viewed ; co05_primary_action ; co05_error</t>
  </si>
  <si>
    <t>Trois colocataires valident une règle de loyer fixe et des courses à parts égales.</t>
  </si>
  <si>
    <t>CO06</t>
  </si>
  <si>
    <t>Objectifs communs</t>
  </si>
  <si>
    <t>Créer un projet financier temporaire à plusieurs.</t>
  </si>
  <si>
    <t>nom ; montant ; date ; participants ; contributions ; priorité</t>
  </si>
  <si>
    <t>Créer ; Contribuer ; Modifier ; Mettre en pause ; Clôturer</t>
  </si>
  <si>
    <t>capital ; reste ; contribution de chacun ; progression ; date cible</t>
  </si>
  <si>
    <t>Aucun prélèvement automatique ; chaque contribution est enregistrée/confirmée.</t>
  </si>
  <si>
    <t>progression = capital commun / objectif</t>
  </si>
  <si>
    <t>Contribution &gt; budget personnel partagé ; date passée.</t>
  </si>
  <si>
    <t>Palier atteint ; échéance proche.</t>
  </si>
  <si>
    <t>GET/POST /v1/groups/{id}/goals</t>
  </si>
  <si>
    <t>co06_viewed ; co06_primary_action ; co06_error</t>
  </si>
  <si>
    <t>Colocation prépare 80 000 DA pour un déménagement.</t>
  </si>
  <si>
    <t>CP01</t>
  </si>
  <si>
    <t>Créer espace couple</t>
  </si>
  <si>
    <t>Configurer organisation et permissions.</t>
  </si>
  <si>
    <t>Deux comptes ou invitation.</t>
  </si>
  <si>
    <t>Mode : séparé/commun partiel/principalement commun; devise; dépenses communes; visibilité des totaux.</t>
  </si>
  <si>
    <t>Créer; Inviter; Configurer permissions.</t>
  </si>
  <si>
    <t>Espace couple + matrice initiale.</t>
  </si>
  <si>
    <t>Privé par défaut; le partenaire ne voit jamais une donnée non partagée.</t>
  </si>
  <si>
    <t>Explication des 3 niveaux : privé, partagé, commun.</t>
  </si>
  <si>
    <t>Consentement manquant.</t>
  </si>
  <si>
    <t>Changement permissions.</t>
  </si>
  <si>
    <t>POST /shared-spaces type=couple; PATCH permissions</t>
  </si>
  <si>
    <t>cp01_viewed ; cp01_primary_action ; cp01_error</t>
  </si>
  <si>
    <t>13. Parcours Couple</t>
  </si>
  <si>
    <t>CP02</t>
  </si>
  <si>
    <t>Tableau de bord couple</t>
  </si>
  <si>
    <t>Piloter les éléments communs et objectifs.</t>
  </si>
  <si>
    <t>Espace + permissions.</t>
  </si>
  <si>
    <t>Période; vue commun/mes contributions.</t>
  </si>
  <si>
    <t>Ajouter dépense commune; Créer objectif; Voir budget; Modifier partage.</t>
  </si>
  <si>
    <t>Revenus communs autorisés; dépenses; épargne commune; objectif; réserve commune; échéances.</t>
  </si>
  <si>
    <t>Si un revenu est partagé en “total seulement”, ne pas exposer source/détail.</t>
  </si>
  <si>
    <t>Taux épargne commun = épargne commune/revenus communs autorisés; autres calculs selon permissions.</t>
  </si>
  <si>
    <t>“Commencez par un budget ou un objectif commun.”</t>
  </si>
  <si>
    <t>Donnée partenaire révoquée =&gt; recalcul partiel.</t>
  </si>
  <si>
    <t>Objectif commun; échéance; changement partage.</t>
  </si>
  <si>
    <t>GET /shared-spaces/{id}/tableau de bord; GET aggregates</t>
  </si>
  <si>
    <t>cp02_viewed ; cp02_primary_action ; cp02_error</t>
  </si>
  <si>
    <t>CP03</t>
  </si>
  <si>
    <t>Objectif commun</t>
  </si>
  <si>
    <t>Planifier mariage, voyage, logement, voiture, enfant ou autre projet.</t>
  </si>
  <si>
    <t>Espace couple.</t>
  </si>
  <si>
    <t>Cible; date; capital commun; contributions de chacun; règle de contribution.</t>
  </si>
  <si>
    <t>Créer; Simuler; Modifier contribution; Mettre en pause.</t>
  </si>
  <si>
    <t>Trajectoire commune + contributions.</t>
  </si>
  <si>
    <t>Contribution individuelle peut rester privée en détail tout en exposant total si permission.</t>
  </si>
  <si>
    <t>Somme contributions + capital; Moteur d’objectifs financiers commun.</t>
  </si>
  <si>
    <t>“Choisissez votre premier projet à deux.”</t>
  </si>
  <si>
    <t>Contributions &gt; capacité non bloquantes mais signalées.</t>
  </si>
  <si>
    <t>Jalon objectif.</t>
  </si>
  <si>
    <t>POST /shared-spaces/{id}/goals; POST /simulations/goal</t>
  </si>
  <si>
    <t>cp03_viewed ; cp03_primary_action ; cp03_error</t>
  </si>
  <si>
    <t>CP04</t>
  </si>
  <si>
    <t>Revue financière du couple</t>
  </si>
  <si>
    <t>Organiser une revue périodique des finances communes sans fusionner les données privées.</t>
  </si>
  <si>
    <t>Profil couple actif lorsque pertinent.</t>
  </si>
  <si>
    <t>période ; budget commun ; objectifs ; contributions ; alertes ; éléments explicitement partagés</t>
  </si>
  <si>
    <t>Valider revue ; Ajuster contribution ; Modifier objectif ; Planifier prochaine revue</t>
  </si>
  <si>
    <t>écarts ; décisions à confirmer ; objectifs hors trajectoire ; prochaine échéance</t>
  </si>
  <si>
    <t>Aucune donnée personnelle non partagée n’apparaît dans la revue.</t>
  </si>
  <si>
    <t>agrégation des indicateurs communs</t>
  </si>
  <si>
    <t>Données communes incomplètes.</t>
  </si>
  <si>
    <t>Rappel de revue selon fréquence choisie.</t>
  </si>
  <si>
    <t>GET /v1/couples/{id}/review ; POST /v1/couples/{id}/review</t>
  </si>
  <si>
    <t>cp04_viewed ; cp04_primary_action ; cp04_error</t>
  </si>
  <si>
    <t>Le couple revoit budget logement et objectif vacances en fin de mois.</t>
  </si>
  <si>
    <t>EP01</t>
  </si>
  <si>
    <t>Diagnostic épargne</t>
  </si>
  <si>
    <t>Déterminer capacité, réserve et priorité.</t>
  </si>
  <si>
    <t>Revenus + dépenses; dette optionnelle.</t>
  </si>
  <si>
    <t>Revenus; dépenses essentielles/flexibles; épargne liquide; dettes; objectif.</t>
  </si>
  <si>
    <t>Calculer ma capacité; Créer objectif; Voir ma réserve.</t>
  </si>
  <si>
    <t>Capacité d’épargne; taux épargne; mois réserve; priorité pédagogique.</t>
  </si>
  <si>
    <t>Ne pas conclure automatiquement qu’il faut investir; si données insuffisantes, rester descriptif.</t>
  </si>
  <si>
    <t>Capacité = revenus - dépenses - mensualités obligatoires; taux = épargne nette/revenus; réserve.</t>
  </si>
  <si>
    <t>“Ajoutez revenus et dépenses pour commencer.”</t>
  </si>
  <si>
    <t>Capacité négative =&gt; afficher tension sans jugement.</t>
  </si>
  <si>
    <t>Progression réserve.</t>
  </si>
  <si>
    <t>POST /savings/diagnostic; GET /money/summary; GET /safety-fund</t>
  </si>
  <si>
    <t>ep01_viewed ; ep01_primary_action ; ep01_error</t>
  </si>
  <si>
    <t>15. Parcours Épargnant débutant</t>
  </si>
  <si>
    <t>EP02</t>
  </si>
  <si>
    <t>Tableau de bord Parcours d’épargne</t>
  </si>
  <si>
    <t>Suivre l’effort d’épargne et objectifs.</t>
  </si>
  <si>
    <t>Diagnostic effectué.</t>
  </si>
  <si>
    <t>Période; objectif.</t>
  </si>
  <si>
    <t>Ajouter épargne; Simuler; Adapter budget; Voir inflation; Apprendre.</t>
  </si>
  <si>
    <t>Capacité; épargne réelle; taux; réserve; objectif; valeur future; valeur réelle; prochaine action.</t>
  </si>
  <si>
    <t>Valeur future toujours accompagnée des hypothèses; comparaison nominal/réel.</t>
  </si>
  <si>
    <t>Formules Moteur d’objectifs financiers + inflation.</t>
  </si>
  <si>
    <t>“Créez votre premier objectif d’épargne.”</t>
  </si>
  <si>
    <t>Hypothèses manquantes.</t>
  </si>
  <si>
    <t>Contribution; jalon; objectif en retard.</t>
  </si>
  <si>
    <t>GET /tableau de bord?persona=saver_beginner; GET /goals; POST /simulations/goal</t>
  </si>
  <si>
    <t>ep02_viewed ; ep02_primary_action ; ep02_error</t>
  </si>
  <si>
    <t>EP03</t>
  </si>
  <si>
    <t>Profil de risque pédagogique</t>
  </si>
  <si>
    <t>Faire comprendre horizon, perte possible et volatilité avant portefeuille fictif.</t>
  </si>
  <si>
    <t>Accès Invest Lab.</t>
  </si>
  <si>
    <t>Horizon; objectif; réaction à baisse hypothétique; besoin liquidité; connaissance.</t>
  </si>
  <si>
    <t>Répondre; Voir explication; Refaire; Ouvrir portefeuille fictif.</t>
  </si>
  <si>
    <t>Profil pédagogique descriptif, dimensions et limites.</t>
  </si>
  <si>
    <t>Ne pas utiliser comme conseil d’investissement automatisé; pas de produit réel recommandé.</t>
  </si>
  <si>
    <t>Score pédagogique interne si nécessaire, mais afficher catégories explicables.</t>
  </si>
  <si>
    <t>Questionnaire non commencé.</t>
  </si>
  <si>
    <t>Réponses contradictoires =&gt; demander clarification.</t>
  </si>
  <si>
    <t>GET /risk-learning/questionnaire; POST /risk-learning/assessment</t>
  </si>
  <si>
    <t>ep03_viewed ; ep03_primary_action ; ep03_error</t>
  </si>
  <si>
    <t>EP04</t>
  </si>
  <si>
    <t>Suis-je prêt à commencer ?</t>
  </si>
  <si>
    <t>Vérifier les prérequis financiers et pédagogiques avant d’ouvrir le laboratoire d’investissement.</t>
  </si>
  <si>
    <t>Profil épargnant débutant actif lorsque pertinent.</t>
  </si>
  <si>
    <t>budget ; réserve ; dette ; horizon ; connaissances ; liquidité nécessaire</t>
  </si>
  <si>
    <t>Voir ma réserve ; Voir mes dettes ; Commencer un module ; Continuer</t>
  </si>
  <si>
    <t>étape recommandée par règles : sécuriser / préparer un objectif / apprendre à investir</t>
  </si>
  <si>
    <t>Ce résultat n’est pas un conseil en investissement ; il organise seulement le parcours pédagogique.</t>
  </si>
  <si>
    <t>règles de seuils configurables et explicables</t>
  </si>
  <si>
    <t>Données insuffisantes pour classer l’étape.</t>
  </si>
  <si>
    <t>Niveau débloqué après prérequis.</t>
  </si>
  <si>
    <t>GET /v1/savings/readiness ; GET /v1/progress</t>
  </si>
  <si>
    <t>ep04_viewed ; ep04_primary_action ; ep04_error</t>
  </si>
  <si>
    <t>Utilisateur sans réserve est dirigé vers sécurité avant portefeuille fictif.</t>
  </si>
  <si>
    <t>EP05</t>
  </si>
  <si>
    <t>Comprendre les placements</t>
  </si>
  <si>
    <t>Présenter liquidité, risque, rendement, horizon et diversification de manière pédagogique.</t>
  </si>
  <si>
    <t>thème ; niveau ; classe d’actifs ; horizon pédagogique</t>
  </si>
  <si>
    <t>Lire ; Comparer ; Faire un quiz ; Tester dans le portefeuille fictif</t>
  </si>
  <si>
    <t>fiches pédagogiques ; quiz ; exemples ; notions associées</t>
  </si>
  <si>
    <t>Pas de recommandation personnalisée de produit réel.</t>
  </si>
  <si>
    <t>Aucune formule obligatoire ; exemples peuvent utiliser rendement réel et inflation.</t>
  </si>
  <si>
    <t>Contenu indisponible ou obsolète.</t>
  </si>
  <si>
    <t>Nouveau module disponible.</t>
  </si>
  <si>
    <t>GET /v1/learn/investing</t>
  </si>
  <si>
    <t>ep05_viewed ; ep05_primary_action ; ep05_error</t>
  </si>
  <si>
    <t>Épargnant comprend pourquoi rendement, risque et liquidité doivent être lus ensemble.</t>
  </si>
  <si>
    <t>EP06</t>
  </si>
  <si>
    <t>Marché pédagogique</t>
  </si>
  <si>
    <t>Afficher des instruments et données de marché à finalité éducative, sans exécution.</t>
  </si>
  <si>
    <t>classe d’actif ; filtre ; période ; instrument</t>
  </si>
  <si>
    <t>Voir fiche ; Ajouter au portefeuille fictif ; Comparer ; Comprendre</t>
  </si>
  <si>
    <t>fiche ; historique ; rendement ; volatilité ; source/date ; données fictives ou pédagogiques</t>
  </si>
  <si>
    <t>Aucun bouton d’achat réel ; séparation nette entre information et portefeuille fictif.</t>
  </si>
  <si>
    <t>calculs analytiques versionnés selon source de données</t>
  </si>
  <si>
    <t>Donnée marché absente ou ancienne.</t>
  </si>
  <si>
    <t>Source mise à jour.</t>
  </si>
  <si>
    <t>GET /v1/education/market ; GET /v1/education/instruments/{id}</t>
  </si>
  <si>
    <t>ep06_viewed ; ep06_primary_action ; ep06_error</t>
  </si>
  <si>
    <t>Utilisateur consulte une obligation, puis l’ajoute virtuellement à un portefeuille pédagogique.</t>
  </si>
  <si>
    <t>EP07</t>
  </si>
  <si>
    <t>Journal de décisions et export du laboratoire</t>
  </si>
  <si>
    <t>Conserver l’historique des simulations et décisions fictives pour apprendre de ses choix.</t>
  </si>
  <si>
    <t>période ; portefeuille ; simulations ; format d’export</t>
  </si>
  <si>
    <t>Exporter ; Filtrer ; Réinitialiser historique avec confirmation</t>
  </si>
  <si>
    <t>journal ; décisions ; résultats ; PDF/XLSX/CSV marqué Simulation</t>
  </si>
  <si>
    <t>Aucune donnée fictive ne peut être exportée comme patrimoine réel.</t>
  </si>
  <si>
    <t>Aucune formule spécifique au journal</t>
  </si>
  <si>
    <t>Portefeuille vide ; export impossible.</t>
  </si>
  <si>
    <t>Export prêt.</t>
  </si>
  <si>
    <t>GET /v1/education/journal ; POST /v1/exports</t>
  </si>
  <si>
    <t>ep07_viewed ; ep07_primary_action ; ep07_error</t>
  </si>
  <si>
    <t>Épargnant exporte son journal de décisions fictives après trois simulations.</t>
  </si>
  <si>
    <t>ET01</t>
  </si>
  <si>
    <t>Onboarding étudiant</t>
  </si>
  <si>
    <t>Construire un budget étudiant avec ressources hétérogènes.</t>
  </si>
  <si>
    <t>Profil étudiant.</t>
  </si>
  <si>
    <t>Bourse; aide familiale; job; freelance; logement; transport; restauration; études; téléphone; objectif.</t>
  </si>
  <si>
    <t>Continuer; Ajouter une ressource; Estimer mes dépenses; Passer.</t>
  </si>
  <si>
    <t>Budget initial + autonomie calculable si données suffisantes.</t>
  </si>
  <si>
    <t>Toutes ressources peuvent être irrégulières; demander fréquence.</t>
  </si>
  <si>
    <t>Ressources mensuelles normalisées = somme montants convertis selon fréquence.</t>
  </si>
  <si>
    <t>“Ajoutez au moins une ressource ou utilisez un budget fictif.”</t>
  </si>
  <si>
    <t>Fréquence manquante pour ressource périodique.</t>
  </si>
  <si>
    <t>Rappel budget début de mois opt-in.</t>
  </si>
  <si>
    <t>POST /incomes; POST /expenses/estimate; POST /goals; GET /config/student-categories</t>
  </si>
  <si>
    <t>et01_viewed ; et01_primary_action ; et01_error</t>
  </si>
  <si>
    <t>9. Parcours Étudiant</t>
  </si>
  <si>
    <t>ET02</t>
  </si>
  <si>
    <t>Tableau de bord étudiant</t>
  </si>
  <si>
    <t>Piloter le mois et l’autonomie.</t>
  </si>
  <si>
    <t>Données étudiant.</t>
  </si>
  <si>
    <t>Période; mode cash mensuel.</t>
  </si>
  <si>
    <t>Ajouter dépense; Voir autonomie; Objectif; Trouver une explication; Simuler.</t>
  </si>
  <si>
    <t>Argent disponible; ressources; dépenses; jours restants; autonomie; réserve; objectif; prochaine action.</t>
  </si>
  <si>
    <t>Autonomie ne doit pas être présentée comme valeur morale.</t>
  </si>
  <si>
    <t>Budget/jour = reste disponible / jours restants; autonomie = formule configurable basée sur part dépenses couvertes par revenus propres, avec détail affiché.</t>
  </si>
  <si>
    <t>“Ajoutez vos ressources pour estimer votre mois.”</t>
  </si>
  <si>
    <t>Données insuffisantes =&gt; autonomie non calculée.</t>
  </si>
  <si>
    <t>Risque de fin de mois; objectif jalon.</t>
  </si>
  <si>
    <t>GET /tableau de bord?persona=student; GET /student/autonomy; GET /insights</t>
  </si>
  <si>
    <t>et02_viewed ; et02_primary_action ; et02_error</t>
  </si>
  <si>
    <t>ET03</t>
  </si>
  <si>
    <t>Autonomie financière</t>
  </si>
  <si>
    <t>Expliquer la dépendance aux aides et les leviers d’évolution.</t>
  </si>
  <si>
    <t>Ressources classées propres/aides + dépenses.</t>
  </si>
  <si>
    <t>Horizon; classification ressources; objectif autonomie.</t>
  </si>
  <si>
    <t>Modifier classification; Simuler job/revenu; Fixer cible.</t>
  </si>
  <si>
    <t>Indice + composantes + scénario.</t>
  </si>
  <si>
    <t>La formule doit rester éditorialement neutre; ne pas comparer à d’autres personnes.</t>
  </si>
  <si>
    <t>Exemple : autonomie dépenses = revenus propres récurrents / dépenses essentielles, plafonné 100%; variantes affichées.</t>
  </si>
  <si>
    <t>“Classez vos ressources pour calculer l’autonomie.”</t>
  </si>
  <si>
    <t>Ressource non classée.</t>
  </si>
  <si>
    <t>Jalon cible.</t>
  </si>
  <si>
    <t>GET/PATCH /student/autonomy; POST /simulations/income-change</t>
  </si>
  <si>
    <t>et03_viewed ; et03_primary_action ; et03_error</t>
  </si>
  <si>
    <t>ET04</t>
  </si>
  <si>
    <t>Dépenses d’études et provisions</t>
  </si>
  <si>
    <t>Transformer les dépenses semestrielles ou annuelles d’études en effort mensuel anticipé.</t>
  </si>
  <si>
    <t>Profil étudiant actif lorsque pertinent.</t>
  </si>
  <si>
    <t>type de dépense ; montant ; date prévue ; récurrence ; montant déjà provisionné</t>
  </si>
  <si>
    <t>Ajouter une dépense ; Provisionner ; Modifier date ; Affecter à une enveloppe</t>
  </si>
  <si>
    <t>provision mensuelle recommandée par règle ; montant restant ; échéancier</t>
  </si>
  <si>
    <t>Une provision est une réservation budgétaire ; elle ne crée pas une dépense réalisée.</t>
  </si>
  <si>
    <t>provision mensuelle = (montant - déjà provisionné) / mois restants</t>
  </si>
  <si>
    <t>Date passée ; montant négatif ; échéance sans montant.</t>
  </si>
  <si>
    <t>J-30 / J-7 selon préférence et montant non provisionné.</t>
  </si>
  <si>
    <t>GET/POST /v1/student/provisions ; GET /v1/student/calendar</t>
  </si>
  <si>
    <t>et04_viewed ; et04_primary_action ; et04_error</t>
  </si>
  <si>
    <t>L’étudiant prépare 60 000 DA de frais dans 6 mois en provisionnant 10 000 DA/mois.</t>
  </si>
  <si>
    <t>ET06</t>
  </si>
  <si>
    <t>Comparateur banque / CCP étudiant</t>
  </si>
  <si>
    <t>Comparer des offres selon l’usage réel de l’étudiant.</t>
  </si>
  <si>
    <t>âge ; résidence ; carte ; paiement en ligne ; retrait ; virement ; budget frais</t>
  </si>
  <si>
    <t>Comparer ; Ajouter au comparatif ; Voir source ; Sauvegarder</t>
  </si>
  <si>
    <t>offres filtrées ; coût annuel ; services ; conditions ; source ; date</t>
  </si>
  <si>
    <t>Aucun « meilleur » absolu ; adéquation explicable selon critères utilisateur.</t>
  </si>
  <si>
    <t>adéquation = Σ(correspondance critère × poids utilisateur) / Σ poids</t>
  </si>
  <si>
    <t>Offre obsolète ; critère manquant.</t>
  </si>
  <si>
    <t>Offre sauvegardée mise à jour.</t>
  </si>
  <si>
    <t>POST /v1/offers/search ; GET /v1/offers/{id}; POST /v1/comparisons</t>
  </si>
  <si>
    <t>et06_viewed ; et06_primary_action ; et06_error</t>
  </si>
  <si>
    <t>Étudiant compare coût annuel, carte et paiement en ligne.</t>
  </si>
  <si>
    <t>ET07</t>
  </si>
  <si>
    <t>Premier emploi et fiche de paie</t>
  </si>
  <si>
    <t>Préparer la transition Étudiant → Jeune actif.</t>
  </si>
  <si>
    <t>revenu cible ; coût logement ; transport ; brut/net d’exemple ; dépenses futures</t>
  </si>
  <si>
    <t>Simuler premier salaire ; Comprendre une fiche de paie ; Passer au parcours Jeune actif</t>
  </si>
  <si>
    <t>budget futur ; net disponible ; épargne potentielle ; modules à suivre</t>
  </si>
  <si>
    <t>Simulation séparée du réel ; règles de paie datées lorsqu’elles sont activées.</t>
  </si>
  <si>
    <t>réutilise moteur budgétaire + règles de paie versionnées</t>
  </si>
  <si>
    <t>Revenu &lt;=0 ; barème indisponible.</t>
  </si>
  <si>
    <t>À l’obtention d’un emploi, proposer le changement de parcours.</t>
  </si>
  <si>
    <t>POST /v1/simulations/first-job ; PATCH /v1/profile/persona ; GET /v1/rules/payroll</t>
  </si>
  <si>
    <t>et07_viewed ; et07_primary_action ; et07_error</t>
  </si>
  <si>
    <t>Étudiant simule 70 000 DA net et visualise son budget après logement.</t>
  </si>
  <si>
    <t>ET08</t>
  </si>
  <si>
    <t>Comparateur d’offres d’emploi</t>
  </si>
  <si>
    <t>Comparer le gain économique de plusieurs offres au-delà du seul salaire.</t>
  </si>
  <si>
    <t>salaire net ; primes ; transport ; repas ; distance ; temps trajet ; formation ; avantages</t>
  </si>
  <si>
    <t>Ajouter offre ; Comparer ; Modifier hypothèses ; Enregistrer</t>
  </si>
  <si>
    <t>net économique ; coût de trajet ; avantages valorisés ; comparaison multicritère</t>
  </si>
  <si>
    <t>Les avantages non monétisables restent affichés séparément.</t>
  </si>
  <si>
    <t>net économique = net + avantages monétisables - coûts liés à l’emploi</t>
  </si>
  <si>
    <t>Valeur d’avantage inconnue ; coût de trajet absent.</t>
  </si>
  <si>
    <t>POST /v1/job-offers/compare</t>
  </si>
  <si>
    <t>et08_viewed ; et08_primary_action ; et08_error</t>
  </si>
  <si>
    <t>Deux emplois avec salaires différents sont comparés après transport et repas.</t>
  </si>
  <si>
    <t>ET09</t>
  </si>
  <si>
    <t>Passeport financier étudiant</t>
  </si>
  <si>
    <t>Présenter la progression, l’organisation et la préparation à la vie active.</t>
  </si>
  <si>
    <t>budget ; réserve ; objectifs ; modules ; simulations ; compétences</t>
  </si>
  <si>
    <t>Voir détail ; Continuer parcours ; Exporter</t>
  </si>
  <si>
    <t>progression ; compétences ; complétude ; étapes conseillées par règles</t>
  </si>
  <si>
    <t>Ce passeport n’est pas un score de solvabilité.</t>
  </si>
  <si>
    <t>agrégation d’indicateurs pédagogiques versionnés</t>
  </si>
  <si>
    <t>Données insuffisantes pour certaines rubriques.</t>
  </si>
  <si>
    <t>Nouveau niveau de progression.</t>
  </si>
  <si>
    <t>GET /v1/passport/student ; POST /v1/exports</t>
  </si>
  <si>
    <t>et09_viewed ; et09_primary_action ; et09_error</t>
  </si>
  <si>
    <t>Étudiant voit ses progrès avant de basculer vers Premier Revenu.</t>
  </si>
  <si>
    <t>FA01</t>
  </si>
  <si>
    <t>Créer foyer</t>
  </si>
  <si>
    <t>Structurer membres, rôles et données communes.</t>
  </si>
  <si>
    <t>Compte principal + invitations facultatives.</t>
  </si>
  <si>
    <t>Membres; rôle adulte/enfant; dépenses communes; revenus communs; devise; objectifs famille.</t>
  </si>
  <si>
    <t>Créer; Ajouter membre; Inviter adulte; Configurer permissions.</t>
  </si>
  <si>
    <t>jumeau financier du foyer initial.</t>
  </si>
  <si>
    <t>Données enfant limitées au besoin produit; parent/tuteur selon politique; ne pas exposer données adulte à enfant.</t>
  </si>
  <si>
    <t>Agrégats foyer uniquement sur données autorisées.</t>
  </si>
  <si>
    <t>“Ajoutez les membres ou commencez par le budget du foyer.”</t>
  </si>
  <si>
    <t>Rôle/âge incohérent.</t>
  </si>
  <si>
    <t>Invitation adulte.</t>
  </si>
  <si>
    <t>POST /households; POST /households/{id}/members; permissions</t>
  </si>
  <si>
    <t>fa01_viewed ; fa01_primary_action ; fa01_error</t>
  </si>
  <si>
    <t>14. Parcours Famille</t>
  </si>
  <si>
    <t>FA02</t>
  </si>
  <si>
    <t>Tableau de bord Finances du foyer</t>
  </si>
  <si>
    <t>Voir la situation mensuelle du foyer et les risques prochains.</t>
  </si>
  <si>
    <t>Foyer actif.</t>
  </si>
  <si>
    <t>Mois; membre; catégorie; scénario.</t>
  </si>
  <si>
    <t>Ajouter dépense; Planifier; Objectif enfant; Voir sécurité; Voir patrimoine.</t>
  </si>
  <si>
    <t>Revenus foyer; dépenses; reste à vivre; taux épargne; réserve; dettes communes; dépenses enfants; échéances; objectif.</t>
  </si>
  <si>
    <t>KPI communs seulement; données privées exclues sauf permission.</t>
  </si>
  <si>
    <t>Reste à vivre foyer = revenus communs - charges communes - mensualités communes; réserve foyer selon cash commun/essentielles communes.</t>
  </si>
  <si>
    <t>“Construisez votre premier budget familial.”</t>
  </si>
  <si>
    <t>Données partielles identifiées.</t>
  </si>
  <si>
    <t>Mois chargé; scolarité; échéances.</t>
  </si>
  <si>
    <t>GET /households/{id}/tableau de bord; /budgets; /calendar; /goals</t>
  </si>
  <si>
    <t>fa02_viewed ; fa02_primary_action ; fa02_error</t>
  </si>
  <si>
    <t>FA03</t>
  </si>
  <si>
    <t>Enfants &amp; projets</t>
  </si>
  <si>
    <t>Planifier scolarité, études et autres projets par enfant sans créer de profil financier adulte.</t>
  </si>
  <si>
    <t>Foyer + membre enfant.</t>
  </si>
  <si>
    <t>Type projet; montant; horizon; capital affecté; notes.</t>
  </si>
  <si>
    <t>Créer objectif; Simuler; Planifier contribution.</t>
  </si>
  <si>
    <t>Trajectoire de projet.</t>
  </si>
  <si>
    <t>Aucun score financier de l’enfant; pas de dette/investissement réel rattaché par défaut.</t>
  </si>
  <si>
    <t>Moteur d’objectifs financiers standard.</t>
  </si>
  <si>
    <t>“Ajoutez un projet pour cet enfant.”</t>
  </si>
  <si>
    <t>Horizon invalide.</t>
  </si>
  <si>
    <t>Jalon contribution.</t>
  </si>
  <si>
    <t>POST /households/{id}/child-goals; POST /simulations/goal</t>
  </si>
  <si>
    <t>fa03_viewed ; fa03_primary_action ; fa03_error</t>
  </si>
  <si>
    <t>FA04</t>
  </si>
  <si>
    <t>Dépenses annuelles et provisions</t>
  </si>
  <si>
    <t>Anticiper les dépenses familiales saisonnières ou annuelles.</t>
  </si>
  <si>
    <t>Profil famille actif lorsque pertinent.</t>
  </si>
  <si>
    <t>libellé ; montant ; date ; catégorie ; récurrence ; capital déjà réservé</t>
  </si>
  <si>
    <t>Ajouter ; Provisionner ; Affecter à enveloppe ; Modifier</t>
  </si>
  <si>
    <t>provision mensuelle ; calendrier ; montant manquant ; impact budget</t>
  </si>
  <si>
    <t>Ne pas comptabiliser comme dépense réalisée avant échéance.</t>
  </si>
  <si>
    <t>provision mensuelle = reste à financer / mois restants</t>
  </si>
  <si>
    <t>Échéance passée ; montant invalide.</t>
  </si>
  <si>
    <t>J-30/J-7 ; provision insuffisante.</t>
  </si>
  <si>
    <t>GET/POST /v1/households/{id}/provisions</t>
  </si>
  <si>
    <t>fa04_viewed ; fa04_primary_action ; fa04_error</t>
  </si>
  <si>
    <t>Famille provisionne rentrée scolaire et assurance automobile.</t>
  </si>
  <si>
    <t>FA05</t>
  </si>
  <si>
    <t>Enfants et projets associés</t>
  </si>
  <si>
    <t>Suivre uniquement les données financières nécessaires aux projets liés aux enfants.</t>
  </si>
  <si>
    <t>alias/prénom facultatif ; tranche d’âge ; type de projet ; montant ; date ; coût récurrent</t>
  </si>
  <si>
    <t>Créer projet ; Ajouter dépense ; Créer objectif ; Modifier visibilité</t>
  </si>
  <si>
    <t>budget enfant ; objectif études ; provisions ; échéances</t>
  </si>
  <si>
    <t>Minimisation des données ; pas de collecte inutile de données sensibles sur l’enfant.</t>
  </si>
  <si>
    <t>réutilise budget, provisions et objectifs</t>
  </si>
  <si>
    <t>Projet sans responsable ; permission insuffisante.</t>
  </si>
  <si>
    <t>Échéance projet ; provision insuffisante.</t>
  </si>
  <si>
    <t>GET/POST /v1/households/{id}/children-projects</t>
  </si>
  <si>
    <t>fa05_viewed ; fa05_primary_action ; fa05_error</t>
  </si>
  <si>
    <t>Parents préparent un objectif études sur plusieurs années.</t>
  </si>
  <si>
    <t>FA06</t>
  </si>
  <si>
    <t>Revue du foyer</t>
  </si>
  <si>
    <t>Faire le point périodique sur budget, contributions, projets, réserve et risques.</t>
  </si>
  <si>
    <t>période ; membres ; données communes ; objectifs ; dettes communes ; alertes</t>
  </si>
  <si>
    <t>Valider ; Ajuster budget ; Ajuster contribution ; Exporter</t>
  </si>
  <si>
    <t>écarts ; progression ; risques ; décisions à confirmer ; résumé exportable</t>
  </si>
  <si>
    <t>Respect strict des périmètres Moi / Nous / Famille.</t>
  </si>
  <si>
    <t>agrégation des indicateurs foyer</t>
  </si>
  <si>
    <t>Donnée commune manquante.</t>
  </si>
  <si>
    <t>Rappel mensuel/trimestriel au choix.</t>
  </si>
  <si>
    <t>GET /v1/households/{id}/review ; POST /v1/exports</t>
  </si>
  <si>
    <t>fa06_viewed ; fa06_primary_action ; fa06_error</t>
  </si>
  <si>
    <t>Famille examine son budget, sa réserve et les dépenses scolaires à venir.</t>
  </si>
  <si>
    <t>JA01</t>
  </si>
  <si>
    <t>Transition premier revenu</t>
  </si>
  <si>
    <t>Faire évoluer le profil étudiant/jeune vers jeune actif.</t>
  </si>
  <si>
    <t>Détection ou déclaration d’un revenu régulier.</t>
  </si>
  <si>
    <t>Date premier salaire; net; fréquence; emploi; charges nouvelles; dette éventuelle.</t>
  </si>
  <si>
    <t>Activer mon parcours; Plus tard; Importer fiche de paie.</t>
  </si>
  <si>
    <t>Nouveau parcours + checklist premier salaire.</t>
  </si>
  <si>
    <t>Transition proposée, jamais forcée; conserver historique.</t>
  </si>
  <si>
    <t>Pas de score.</t>
  </si>
  <si>
    <t>“Votre premier revenu régulier peut activer le parcours Jeune actif.”</t>
  </si>
  <si>
    <t>Revenu non confirmé.</t>
  </si>
  <si>
    <t>Félicitations sobre + checklist.</t>
  </si>
  <si>
    <t>POST /profile/transitions; POST /incomes; POST /salary-slips</t>
  </si>
  <si>
    <t>ja01_viewed ; ja01_primary_action ; ja01_error</t>
  </si>
  <si>
    <t>10. Parcours Jeune actif</t>
  </si>
  <si>
    <t>JA02</t>
  </si>
  <si>
    <t>Tableau de bord jeune actif</t>
  </si>
  <si>
    <t>Prioriser reste à vivre, épargne et réserve.</t>
  </si>
  <si>
    <t>Revenu régulier.</t>
  </si>
  <si>
    <t>Période.</t>
  </si>
  <si>
    <t>Décoder salaire; Créer budget; Alimenter réserve; Objectif; Simuler.</t>
  </si>
  <si>
    <t>Salaire net; reste à vivre; taux épargne; réserve; dette/revenu; objectif; patrimoine net; action.</t>
  </si>
  <si>
    <t>Réserve et charges essentielles prioritaires avant contenu investissement avancé, sans bloquer l’accès éducatif.</t>
  </si>
  <si>
    <t>Reste à vivre = revenus nets - charges fixes - mensualités obligatoires; taux épargne = épargne nette/revenus nets.</t>
  </si>
  <si>
    <t>Cartes de démarrage.</t>
  </si>
  <si>
    <t>Non calculable =&gt; demander champs ciblés.</t>
  </si>
  <si>
    <t>Salaire reçu; réserve sous cible; objectif.</t>
  </si>
  <si>
    <t>GET /tableau de bord?persona=young_active; GET /financial-health; GET /safety-fund</t>
  </si>
  <si>
    <t>ja02_viewed ; ja02_primary_action ; ja02_error</t>
  </si>
  <si>
    <t>JA03</t>
  </si>
  <si>
    <t>Plan premier salaire</t>
  </si>
  <si>
    <t>Affecter volontairement le revenu à obligations, sécurité et projets.</t>
  </si>
  <si>
    <t>Salaire + charges.</t>
  </si>
  <si>
    <t>Montants ou % : charges, variable, réserve, objectifs, libre.</t>
  </si>
  <si>
    <t>Appliquer au budget; Simuler; Réinitialiser.</t>
  </si>
  <si>
    <t>Répartition + reste non affecté.</t>
  </si>
  <si>
    <t>Chaque dinar peut être affecté mais l’utilisateur garde “Non affecté”; ne pas imposer règle 50/30/20.</t>
  </si>
  <si>
    <t>Reste = revenu - allocations.</t>
  </si>
  <si>
    <t>Répartition suggérée basée uniquement sur données utilisateur, pas benchmark non vérifié.</t>
  </si>
  <si>
    <t>Somme &gt; revenu signalée.</t>
  </si>
  <si>
    <t>Rappel de répartition si opt-in.</t>
  </si>
  <si>
    <t>POST /budgets/allocate; GET /money/summary</t>
  </si>
  <si>
    <t>ja03_viewed ; ja03_primary_action ; ja03_error</t>
  </si>
  <si>
    <t>JA04</t>
  </si>
  <si>
    <t>Organiser mon premier revenu</t>
  </si>
  <si>
    <t>Aider le jeune actif à affecter volontairement son premier revenu.</t>
  </si>
  <si>
    <t>Profil jeune actif actif lorsque pertinent.</t>
  </si>
  <si>
    <t>revenu net ; charges ; sécurité ; objectifs ; loisirs ; investissement pédagogique</t>
  </si>
  <si>
    <t>Ajuster ; Enregistrer comme plan ; Créer une enveloppe</t>
  </si>
  <si>
    <t>répartition du revenu ; reste ; épargne ; couverture des charges</t>
  </si>
  <si>
    <t>Aucune affectation automatique ; l’utilisateur confirme chaque choix.</t>
  </si>
  <si>
    <t>somme affectations + reste = revenu</t>
  </si>
  <si>
    <t>Affectations &gt; revenu ; montant négatif.</t>
  </si>
  <si>
    <t>Rappel mensuel facultatif du plan.</t>
  </si>
  <si>
    <t>POST /v1/budget/allocation-plan</t>
  </si>
  <si>
    <t>ja04_viewed ; ja04_primary_action ; ja04_error</t>
  </si>
  <si>
    <t>Jeune actif répartit 90 000 DA entre charges, réserve et projet voiture.</t>
  </si>
  <si>
    <t>JA07</t>
  </si>
  <si>
    <t>Mes premiers actifs</t>
  </si>
  <si>
    <t>Construire la première vue de patrimoine personnel.</t>
  </si>
  <si>
    <t>comptes ; CCP ; espèces ; or ; véhicule ; immobilier ; placements ; dettes</t>
  </si>
  <si>
    <t>Ajouter actif ; Ajouter dette ; Mettre à jour valeur ; Exporter</t>
  </si>
  <si>
    <t>actifs ; passifs ; patrimoine net ; liquidité ; concentration</t>
  </si>
  <si>
    <t>Réel et fictif strictement séparés ; chaque valeur déclarée est datée.</t>
  </si>
  <si>
    <t>patrimoine net = actifs réels - dettes</t>
  </si>
  <si>
    <t>Devise manquante ; valeur négative ; doublon.</t>
  </si>
  <si>
    <t>Donnée &gt;90 jours ; forte concentration.</t>
  </si>
  <si>
    <t>GET/POST /v1/assets ; GET /v1/net-worth</t>
  </si>
  <si>
    <t>ja07_viewed ; ja07_primary_action ; ja07_error</t>
  </si>
  <si>
    <t>Jeune actif ajoute véhicule, compte bancaire et dette automobile.</t>
  </si>
  <si>
    <t>JA08</t>
  </si>
  <si>
    <t>Préparation au financement</t>
  </si>
  <si>
    <t>Évaluer la préparation du dossier sans prédire une décision bancaire.</t>
  </si>
  <si>
    <t>revenu ; ancienneté ; dettes ; apport ; documents ; besoin ; mensualité maximale</t>
  </si>
  <si>
    <t>Compléter dossier ; Simuler ; Comparer ; Exporter</t>
  </si>
  <si>
    <t>indice de préparation ; points forts/faibles ; documents manquants ; actions</t>
  </si>
  <si>
    <t>Ne jamais utiliser « score de crédit » ; aucune garantie d’accord.</t>
  </si>
  <si>
    <t>indice configurable = complétude + stabilité + effort dette + apport + réserve</t>
  </si>
  <si>
    <t>Données insuffisantes ; consentement export absent.</t>
  </si>
  <si>
    <t>Dossier passe 60/80 % ; pièce manquante.</t>
  </si>
  <si>
    <t>POST /v1/funding/preparation ; GET /v1/funding/checklist</t>
  </si>
  <si>
    <t>ja08_viewed ; ja08_primary_action ; ja08_error</t>
  </si>
  <si>
    <t>Utilisateur voit 76/100 de préparation et deux pièces manquantes.</t>
  </si>
  <si>
    <t>JA09</t>
  </si>
  <si>
    <t>Comparer un financement</t>
  </si>
  <si>
    <t>Comparer plusieurs formes de financement avec critères visibles.</t>
  </si>
  <si>
    <t>besoin ; montant ; durée ; apport ; préférence conventionnelle/islamique ; revenu ; garanties</t>
  </si>
  <si>
    <t>Comparer ; Modifier hypothèses ; Voir source ; Sauvegarder</t>
  </si>
  <si>
    <t>mensualité/coût ; apport ; frais ; conditions ; impact de trésorerie ; source/date</t>
  </si>
  <si>
    <t>Aucun classement opaque ; pas d’éligibilité garantie.</t>
  </si>
  <si>
    <t>moteur de comparaison multicritère et calculs de mensualité versionnés</t>
  </si>
  <si>
    <t>Offre obsolète ; paramètres incomplets.</t>
  </si>
  <si>
    <t>Mise à jour d’une offre sauvegardée.</t>
  </si>
  <si>
    <t>POST /v1/financing/compare ; GET /v1/offers</t>
  </si>
  <si>
    <t>ja09_viewed ; ja09_primary_action ; ja09_error</t>
  </si>
  <si>
    <t>Jeune actif compare financement conventionnel et solution islamique pour un véhicule.</t>
  </si>
  <si>
    <t>LY01</t>
  </si>
  <si>
    <t>Onboarding lycéen</t>
  </si>
  <si>
    <t>Configurer une expérience pédagogique minimale.</t>
  </si>
  <si>
    <t>Compte + âge compatible.</t>
  </si>
  <si>
    <t>Âge; classe/niveau; argent de poche facultatif; fréquence; objectif; niveau de connaissance.</t>
  </si>
  <si>
    <t>Continuer; Je n’ai pas de revenu; Choisir un objectif.</t>
  </si>
  <si>
    <t>Profil pédagogique + premier défi.</t>
  </si>
  <si>
    <t>Ne pas demander dette, patrimoine réel, offres de crédit; contenu adapté mineur.</t>
  </si>
  <si>
    <t>Budget hebdo = argent disponible / jours restants si l’utilisateur souhaite une cadence.</t>
  </si>
  <si>
    <t>“Tu peux commencer sans argent réel avec un budget fictif.”</t>
  </si>
  <si>
    <t>Âge incompatible avec profil; montant négatif.</t>
  </si>
  <si>
    <t>Défi de bienvenue.</t>
  </si>
  <si>
    <t>POST /profile/segment; PATCH /profile; POST /goals; POST /learning/journey</t>
  </si>
  <si>
    <t>ly01_viewed ; ly01_primary_action ; ly01_error</t>
  </si>
  <si>
    <t>8. Parcours Lycéen</t>
  </si>
  <si>
    <t>LY02</t>
  </si>
  <si>
    <t>Accueil — Ma semaine financière</t>
  </si>
  <si>
    <t>Donner une vision simple disponible/dépensé/économisé/objectif.</t>
  </si>
  <si>
    <t>Onboarding terminé.</t>
  </si>
  <si>
    <t>Semaine; mode réel/fictif.</t>
  </si>
  <si>
    <t>Ajouter dépense; Commencer défi; Voir objectif; Apprendre.</t>
  </si>
  <si>
    <t>Disponible; dépensé semaine; économisé; objectif; Indice de connaissances financières; mission.</t>
  </si>
  <si>
    <t>Pas de Santé financière adulte; messages non culpabilisants; maximum 1 alerte et 1 mission.</t>
  </si>
  <si>
    <t>Disponible = entrées - dépenses; taux économie = épargne/entrées si entrées &gt;0.</t>
  </si>
  <si>
    <t>“Commence avec 5 000 DA fictifs pour t’entraîner.”</t>
  </si>
  <si>
    <t>Donnée manquante =&gt; bascule pédagogique.</t>
  </si>
  <si>
    <t>Mission/jalon uniquement.</t>
  </si>
  <si>
    <t>GET /tableau de bord?persona=lyceen; GET /learning/missions; GET /goals/priority</t>
  </si>
  <si>
    <t>ly02_viewed ; ly02_primary_action ; ly02_error</t>
  </si>
  <si>
    <t>LY03</t>
  </si>
  <si>
    <t>Défis &amp; missions</t>
  </si>
  <si>
    <t>Apprendre par décisions courtes et mesurables.</t>
  </si>
  <si>
    <t>Profil lycéen.</t>
  </si>
  <si>
    <t>Choix mission; montant fictif; décisions.</t>
  </si>
  <si>
    <t>Commencer; Choisir; Rejouer; Voir explication.</t>
  </si>
  <si>
    <t>Résultat cash/épargne/résilience pédagogique + feedback.</t>
  </si>
  <si>
    <t>Aucune conséquence réelle; score pédagogique explicable.</t>
  </si>
  <si>
    <t>Score mission = points règles configurées; Indice de connaissances financières séparé.</t>
  </si>
  <si>
    <t>Catalogue de missions.</t>
  </si>
  <si>
    <t>Mission indisponible.</t>
  </si>
  <si>
    <t>Badge pédagogique.</t>
  </si>
  <si>
    <t>GET /learning/missions; POST /learning/missions/{id}/attempt</t>
  </si>
  <si>
    <t>ly03_viewed ; ly03_primary_action ; ly03_error</t>
  </si>
  <si>
    <t>LY09</t>
  </si>
  <si>
    <t>Préparer mes études</t>
  </si>
  <si>
    <t>Projeter le budget de la future vie étudiante avant l’entrée dans l’enseignement supérieur.</t>
  </si>
  <si>
    <t>Profil lycéen actif lorsque pertinent.</t>
  </si>
  <si>
    <t>ville ; logement estimé ; transport ; alimentation ; frais d’études ; télécom ; loisirs ; aide familiale ; épargne disponible</t>
  </si>
  <si>
    <t>Modifier hypothèses ; Enregistrer ; Comparer deux villes ; Passer au parcours Étudiant</t>
  </si>
  <si>
    <t>budget étudiant estimé ; besoin complémentaire ; coût mensuel ; coût annuel ; principaux postes</t>
  </si>
  <si>
    <t>Simulation uniquement ; aucune donnée fictive ne modifie le budget réel du lycéen.</t>
  </si>
  <si>
    <t>besoin complémentaire = dépenses projetées - ressources projetées</t>
  </si>
  <si>
    <t>Montants &lt;=0 non pertinents ; période manquante.</t>
  </si>
  <si>
    <t>Rappel facultatif avant rentrée / changement de parcours.</t>
  </si>
  <si>
    <t>POST /v1/simulations/student-budget ; GET /v1/config/student-categories</t>
  </si>
  <si>
    <t>ly09_viewed ; ly09_primary_action ; ly09_error</t>
  </si>
  <si>
    <t>Le lycéen compare deux villes et voit le besoin mensuel à financer.</t>
  </si>
  <si>
    <t>LY10</t>
  </si>
  <si>
    <t>Simulation de premier salaire</t>
  </si>
  <si>
    <t>Faire comprendre le futur budget après une première embauche.</t>
  </si>
  <si>
    <t>salaire hypothétique ; loyer ; transport ; alimentation ; épargne cible ; autres charges</t>
  </si>
  <si>
    <t>Tester un autre salaire ; Modifier logement ; Voir Comprendre ma fiche de paie</t>
  </si>
  <si>
    <t>budget après embauche ; reste disponible ; capacité d’épargne ; principaux arbitrages</t>
  </si>
  <si>
    <t>Toujours marqué « Simulation pédagogique » ; aucune promesse de revenu.</t>
  </si>
  <si>
    <t>reste = revenu hypothétique - dépenses hypothétiques - épargne cible</t>
  </si>
  <si>
    <t>Revenu &lt;=0 ; données essentielles absentes.</t>
  </si>
  <si>
    <t>Aucune notification par défaut.</t>
  </si>
  <si>
    <t>POST /v1/simulations/first-salary</t>
  </si>
  <si>
    <t>ly10_viewed ; ly10_primary_action ; ly10_error</t>
  </si>
  <si>
    <t>Lycéen simule 70 000 DA net et découvre son budget après logement.</t>
  </si>
  <si>
    <t>LY11</t>
  </si>
  <si>
    <t>Sécurité numérique</t>
  </si>
  <si>
    <t>Former aux risques liés à la carte, au paiement et à l’identité numérique.</t>
  </si>
  <si>
    <t>quiz : hameçonnage ; mot de passe ; carte ; code OTP ; liens frauduleux ; achats en ligne</t>
  </si>
  <si>
    <t>Commencer quiz ; Revoir une notion ; Continuer mon parcours</t>
  </si>
  <si>
    <t>niveau ; réponses expliquées ; compétences acquises ; modules à revoir</t>
  </si>
  <si>
    <t>Aucune donnée bancaire réelle requise ; contenus validés et versionnés.</t>
  </si>
  <si>
    <t>score pédagogique = réponses correctes pondérées / questions applicables</t>
  </si>
  <si>
    <t>Quiz incomplet ; contenu indisponible.</t>
  </si>
  <si>
    <t>Badge ou niveau débloqué selon progression.</t>
  </si>
  <si>
    <t>GET /v1/learn/security ; POST /v1/learn/quiz</t>
  </si>
  <si>
    <t>ly11_viewed ; ly11_primary_action ; ly11_error</t>
  </si>
  <si>
    <t>Lycéen apprend à reconnaître une demande frauduleuse de code OTP.</t>
  </si>
  <si>
    <t>LY12</t>
  </si>
  <si>
    <t>Passeport Avenir</t>
  </si>
  <si>
    <t>Rassembler la progression financière pédagogique du lycéen.</t>
  </si>
  <si>
    <t>modules réalisés ; quiz ; budget terminé ; objectif créé ; compétences</t>
  </si>
  <si>
    <t>Voir progression ; Continuer un module ; Exporter attestation pédagogique</t>
  </si>
  <si>
    <t>niveau ; compétences ; progression ; étapes suivantes</t>
  </si>
  <si>
    <t>Le passeport n’est pas un score bancaire et ne mesure pas la solvabilité.</t>
  </si>
  <si>
    <t>agrégation des preuves d’apprentissage et de complétion</t>
  </si>
  <si>
    <t>Progression insuffisante pour certains badges.</t>
  </si>
  <si>
    <t>Niveau débloqué.</t>
  </si>
  <si>
    <t>GET /v1/progress ; POST /v1/exports/learning-passport</t>
  </si>
  <si>
    <t>ly12_viewed ; ly12_primary_action ; ly12_error</t>
  </si>
  <si>
    <t>Le lycéen visualise qu’il maîtrise budget et sécurité mais doit encore travailler le crédit.</t>
  </si>
  <si>
    <t>P01</t>
  </si>
  <si>
    <t>Hub “À plusieurs”</t>
  </si>
  <si>
    <t>Créer et gérer les espaces partagés sans exposer automatiquement les données privées.</t>
  </si>
  <si>
    <t>Utilisateur authentifié; 18+ pour couple/foyer contractuel selon politique produit.</t>
  </si>
  <si>
    <t>Type espace; nom; devise; membres; permissions; règle de partage par défaut.</t>
  </si>
  <si>
    <t>Créer espace; Inviter; Rejoindre; Ouvrir; Quitter selon droits.</t>
  </si>
  <si>
    <t>Liste espaces + solde personnel + prochaines échéances.</t>
  </si>
  <si>
    <t>Chaque membre contrôle ses données privées; seules transactions explicitement partagées entrent dans l’espace; rôles Owner/Admin/Member/Viewer si nécessaire.</t>
  </si>
  <si>
    <t>Solde membre = paiements effectués pour groupe - quote-part due - remboursements reçus + remboursements payés selon convention choisie.</t>
  </si>
  <si>
    <t>“Créez votre premier espace partagé.”</t>
  </si>
  <si>
    <t>Invitation expirée; membre déjà présent; action non autorisée.</t>
  </si>
  <si>
    <t>Invitation; membre rejoint/quitte; règlement confirmé.</t>
  </si>
  <si>
    <t>GET/POST /shared-spaces; POST /shared-spaces/{id}/invites; GET/PATCH /shared-spaces/{id}/members</t>
  </si>
  <si>
    <t>p01_viewed ; p01_primary_action ; p01_error</t>
  </si>
  <si>
    <t>7. Spécifications des espaces partagés</t>
  </si>
  <si>
    <t>P02</t>
  </si>
  <si>
    <t>Dépense partagée</t>
  </si>
  <si>
    <t>Répartir une dépense entre membres.</t>
  </si>
  <si>
    <t>Espace partagé actif.</t>
  </si>
  <si>
    <t>Montant; payeur; participants; règle égalitaire/%/montants; catégorie; date; note; justificatif.</t>
  </si>
  <si>
    <t>Enregistrer; Répartir; Exclure membre; Marquer remboursé.</t>
  </si>
  <si>
    <t>Quote-part par membre; nouveaux soldes.</t>
  </si>
  <si>
    <t>Somme des parts = montant; arrondis affectés selon règle documentée; un membre peut être payeur sans participer.</t>
  </si>
  <si>
    <t>Part égalitaire = montant / nombre participants; % =&gt; montant*%; montants fixes doivent totaliser montant.</t>
  </si>
  <si>
    <t>Formulaire avec tous les membres sélectionnés par défaut.</t>
  </si>
  <si>
    <t>Parts ≠ montant; payeur absent; devise incompatible.</t>
  </si>
  <si>
    <t>Dépense ajoutée; membre doit rembourser; dépassement budget partagé.</t>
  </si>
  <si>
    <t>POST /shared-spaces/{id}/expenses; GET /shared-spaces/{id}/balances</t>
  </si>
  <si>
    <t>p02_viewed ; p02_primary_action ; p02_error</t>
  </si>
  <si>
    <t>P03</t>
  </si>
  <si>
    <t>Règlements — qui doit quoi à qui</t>
  </si>
  <si>
    <t>Simplifier les remboursements entre membres.</t>
  </si>
  <si>
    <t>Au moins deux membres avec soldes non nuls.</t>
  </si>
  <si>
    <t>Mode brut/optimisé; exclure petit solde; enregistrer paiement.</t>
  </si>
  <si>
    <t>Marquer payé; Copier montant; Voir historique; Recalculer.</t>
  </si>
  <si>
    <t>Liste de transferts minimisant le nombre de règlements si optimisation activée.</t>
  </si>
  <si>
    <t>L’optimisation ne change jamais la dette nette de chaque membre; paiements externes sont déclaratifs tant qu’aucune intégration paiement.</t>
  </si>
  <si>
    <t>Algorithme débiteurs/créditeurs sur soldes nets, arrondi devise.</t>
  </si>
  <si>
    <t>“Tout est équilibré.”</t>
  </si>
  <si>
    <t>Règlement &gt; solde; duplication paiement.</t>
  </si>
  <si>
    <t>Règlement déclaré/confirmé.</t>
  </si>
  <si>
    <t>GET /shared-spaces/{id}/settlements; POST /shared-spaces/{id}/settlements</t>
  </si>
  <si>
    <t>p03_viewed ; p03_primary_action ; p03_error</t>
  </si>
  <si>
    <t>P04</t>
  </si>
  <si>
    <t>Permissions couple / foyer</t>
  </si>
  <si>
    <t>Définir ce qui est privé, partagé ou commun.</t>
  </si>
  <si>
    <t>Espace Couple/Famille.</t>
  </si>
  <si>
    <t>Visibilité revenus, transactions, actifs, objectifs; droit édition; propriétaire donnée.</t>
  </si>
  <si>
    <t>Enregistrer; Tout garder privé; Partager seulement totaux; Révoquer.</t>
  </si>
  <si>
    <t>Matrice de permissions.</t>
  </si>
  <si>
    <t>Par défaut : données personnelles privées; partage explicite; un total commun peut être calculé à partir de données autorisées sans exposer le détail si option activée.</t>
  </si>
  <si>
    <t>Agrégats selon champs autorisés.</t>
  </si>
  <si>
    <t>Permissions minimales et explication.</t>
  </si>
  <si>
    <t>Tentative d’accès non autorisé =&gt; écran neutre.</t>
  </si>
  <si>
    <t>Notification lors d’un changement de partage.</t>
  </si>
  <si>
    <t>GET/PATCH /shared-spaces/{id}/permissions; GET /shared-spaces/{id}/aggregates</t>
  </si>
  <si>
    <t>p04_viewed ; p04_primary_action ; p04_error</t>
  </si>
  <si>
    <t>P05</t>
  </si>
  <si>
    <t>Tableau de bord partagé</t>
  </si>
  <si>
    <t>Piloter un budget commun selon type d’espace.</t>
  </si>
  <si>
    <t>Espace actif avec au moins un membre.</t>
  </si>
  <si>
    <t>Période; membre; catégorie; objectif partagé.</t>
  </si>
  <si>
    <t>Ajouter dépense; Planifier; Créer objectif; Régler soldes; Voir budget.</t>
  </si>
  <si>
    <t>KPI communs + individuels autorisés.</t>
  </si>
  <si>
    <t>Ne jamais inclure des montants privés non partagés; libellés varient Colocation/Couple/Famille.</t>
  </si>
  <si>
    <t>Revenus communs, dépenses communes, solde, épargne commune, reste budget; selon espace.</t>
  </si>
  <si>
    <t>“Ajoutez une première dépense ou un budget commun.”</t>
  </si>
  <si>
    <t>Données membres insuffisantes =&gt; afficher partiel.</t>
  </si>
  <si>
    <t>Budget commun; échéance; règlement.</t>
  </si>
  <si>
    <t>GET /shared-spaces/{id}/tableau de bord; GET /shared-spaces/{id}/budgets; GET /shared-spaces/{id}/goals</t>
  </si>
  <si>
    <t>p05_viewed ; p05_primary_action ; p05_error</t>
  </si>
  <si>
    <t>SA01</t>
  </si>
  <si>
    <t>Onboarding salarié</t>
  </si>
  <si>
    <t>Obtenir les données minimales pour un Santé financière explicable.</t>
  </si>
  <si>
    <t>Profil salarié.</t>
  </si>
  <si>
    <t>Salaire net; autres revenus; charges fixes; dépenses essentielles; épargne liquide; mensualités dette; objectif.</t>
  </si>
  <si>
    <t>Continuer; Importer fiche de paie; Ajouter plus tard.</t>
  </si>
  <si>
    <t>Premiers KPI + score partiel si conditions.</t>
  </si>
  <si>
    <t>Afficher composantes disponibles et manquantes; score non calculé si trop de dimensions absentes.</t>
  </si>
  <si>
    <t>Solde, taux épargne, reste à vivre, réserve, effort dette, patrimoine net si actifs/dettes.</t>
  </si>
  <si>
    <t>“5 minutes pour obtenir votre premier diagnostic.”</t>
  </si>
  <si>
    <t>Données incohérentes confirmables.</t>
  </si>
  <si>
    <t>Rappel compléter profil.</t>
  </si>
  <si>
    <t>POST /incomes; POST /expenses/estimate; POST /debts; POST /goals; GET /financial-health</t>
  </si>
  <si>
    <t>sa01_viewed ; sa01_primary_action ; sa01_error</t>
  </si>
  <si>
    <t>11. Parcours Salarié</t>
  </si>
  <si>
    <t>SA02</t>
  </si>
  <si>
    <t>Tableau de bord Santé financière personnelle</t>
  </si>
  <si>
    <t>Donner une lecture synthétique et actionnable.</t>
  </si>
  <si>
    <t>Données suffisantes.</t>
  </si>
  <si>
    <t>Période; foyer/personnel.</t>
  </si>
  <si>
    <t>Voir pourquoi; Améliorer; Simuler; Mettre à jour; Voir patrimoine.</t>
  </si>
  <si>
    <t>Santé financière; reste à vivre; taux épargne; réserve; dette/revenu; objectif; patrimoine net; action prioritaire.</t>
  </si>
  <si>
    <t>Score séparé du crédit; chaque sous-score cliquable; 3 actions max.</t>
  </si>
  <si>
    <t>Score pondéré par dimensions configurées, normalisées et versionnées; pondérations visibles.</t>
  </si>
  <si>
    <t>Score partiel ou cartes de complétion.</t>
  </si>
  <si>
    <t>Donnée ancienne =&gt; bannière qualité.</t>
  </si>
  <si>
    <t>Variation score significative, objectif, budget, échéance.</t>
  </si>
  <si>
    <t>GET /tableau de bord?persona=employee; GET /financial-health; GET /insights</t>
  </si>
  <si>
    <t>sa02_viewed ; sa02_primary_action ; sa02_error</t>
  </si>
  <si>
    <t>SA03</t>
  </si>
  <si>
    <t>Plan du mois</t>
  </si>
  <si>
    <t>Préparer mois avec revenus, charges, objectifs et échéances.</t>
  </si>
  <si>
    <t>Budget + calendrier.</t>
  </si>
  <si>
    <t>Mois; revenus prévus; charges; objectifs; dépenses saisonnières.</t>
  </si>
  <si>
    <t>Valider plan; Copier mois précédent; Ajouter événement; Simuler.</t>
  </si>
  <si>
    <t>Cash projeté; marge; risques de tension; allocation objectif.</t>
  </si>
  <si>
    <t>Éviter double comptage charges déjà budgétées et événements.</t>
  </si>
  <si>
    <t>Cash fin projeté = cash début + revenus - dépenses - contributions objectifs.</t>
  </si>
  <si>
    <t>“Planifiez votre premier mois.”</t>
  </si>
  <si>
    <t>Montants dupliqués détectés.</t>
  </si>
  <si>
    <t>J-3 avant mois; risque de solde négatif.</t>
  </si>
  <si>
    <t>GET/POST /monthly-plans; GET /calendar-events; GET /cashflow/projected</t>
  </si>
  <si>
    <t>sa03_viewed ; sa03_primary_action ; sa03_error</t>
  </si>
  <si>
    <t>SA04</t>
  </si>
  <si>
    <t>Abonnements et dépenses récurrentes</t>
  </si>
  <si>
    <t>Identifier et suivre les dépenses récurrentes qui pèsent sur le budget.</t>
  </si>
  <si>
    <t>Profil salarié actif lorsque pertinent.</t>
  </si>
  <si>
    <t>transaction ; commerçant ; montant ; périodicité ; catégorie ; date prochaine échéance</t>
  </si>
  <si>
    <t>Confirmer récurrence ; Modifier ; Ignorer ; Ajouter au calendrier</t>
  </si>
  <si>
    <t>liste récurrences ; coût mensuel/annuel ; échéances ; évolution</t>
  </si>
  <si>
    <t>Détection = règle de similarité et périodicité ; aucune résiliation automatique.</t>
  </si>
  <si>
    <t>coût annuel = montant périodique normalisé × fréquence annuelle</t>
  </si>
  <si>
    <t>Récurrence incertaine ; montant variable.</t>
  </si>
  <si>
    <t>Échéance imminente ; hausse significative.</t>
  </si>
  <si>
    <t>GET /v1/recurring ; POST /v1/recurring/confirm</t>
  </si>
  <si>
    <t>sa04_viewed ; sa04_primary_action ; sa04_error</t>
  </si>
  <si>
    <t>Salarié découvre que ses abonnements représentent 7 200 DA/mois.</t>
  </si>
  <si>
    <t>SA05</t>
  </si>
  <si>
    <t>Préparer un dossier et mesurer sa complétude sans prédire l’accord du financeur.</t>
  </si>
  <si>
    <t>revenus ; stabilité ; dettes ; apport ; réserve ; pièces ; besoin</t>
  </si>
  <si>
    <t>Compléter ; Simuler ; Comparer ; Exporter dossier</t>
  </si>
  <si>
    <t>niveau de préparation ; éléments manquants ; impacts budgétaires ; checklist</t>
  </si>
  <si>
    <t>Aucune décision de crédit ; chaque critère et source sont visibles.</t>
  </si>
  <si>
    <t>indice de préparation configurable et explicable</t>
  </si>
  <si>
    <t>Donnée trop ancienne ; pièce manquante.</t>
  </si>
  <si>
    <t>Dossier complété ; source mise à jour.</t>
  </si>
  <si>
    <t>sa05_viewed ; sa05_primary_action ; sa05_error</t>
  </si>
  <si>
    <t>Salarié prépare un projet logement et voit les pièces manquantes.</t>
  </si>
  <si>
    <t>Champs et données d’entrée par écran</t>
  </si>
  <si>
    <t>Décomposition filtrable des champs à renseigner. Le type et l’obligation ne sont pas inventés lorsqu’ils ne sont pas explicitement définis dans la source.</t>
  </si>
  <si>
    <t>Code écran</t>
  </si>
  <si>
    <t>Ordre</t>
  </si>
  <si>
    <t>Champ / donnée d’entrée</t>
  </si>
  <si>
    <t>Prérequis de l’écran</t>
  </si>
  <si>
    <t>Email ou téléphone</t>
  </si>
  <si>
    <t>mot de passe/PIN selon choix</t>
  </si>
  <si>
    <t>pays</t>
  </si>
  <si>
    <t>langue</t>
  </si>
  <si>
    <t>Profil principal</t>
  </si>
  <si>
    <t>tranche d’âge</t>
  </si>
  <si>
    <t>situation</t>
  </si>
  <si>
    <t>intention principale</t>
  </si>
  <si>
    <t>horizon</t>
  </si>
  <si>
    <t>Revenus/ressources</t>
  </si>
  <si>
    <t>dépenses essentielles estimées</t>
  </si>
  <si>
    <t>épargne disponible</t>
  </si>
  <si>
    <t>dette si pertinente</t>
  </si>
  <si>
    <t>objectif principal</t>
  </si>
  <si>
    <t>Filtres période</t>
  </si>
  <si>
    <t>éventuellement compte/foyer</t>
  </si>
  <si>
    <t>Période</t>
  </si>
  <si>
    <t>catégories</t>
  </si>
  <si>
    <t>membre/foyer si partagé</t>
  </si>
  <si>
    <t>revenus prévus</t>
  </si>
  <si>
    <t>montants</t>
  </si>
  <si>
    <t>type fixe/variable</t>
  </si>
  <si>
    <t>récurrence</t>
  </si>
  <si>
    <t>plafond optionnel</t>
  </si>
  <si>
    <t>Type</t>
  </si>
  <si>
    <t>montant</t>
  </si>
  <si>
    <t>date</t>
  </si>
  <si>
    <t>catégorie</t>
  </si>
  <si>
    <t>sous-catégorie</t>
  </si>
  <si>
    <t>mode de paiement</t>
  </si>
  <si>
    <t>note</t>
  </si>
  <si>
    <t>justificatif optionnel</t>
  </si>
  <si>
    <t>partagé oui/non</t>
  </si>
  <si>
    <t>Recherche texte</t>
  </si>
  <si>
    <t>montant min/max</t>
  </si>
  <si>
    <t>type</t>
  </si>
  <si>
    <t>membre</t>
  </si>
  <si>
    <t>Recherche</t>
  </si>
  <si>
    <t>montant approximatif</t>
  </si>
  <si>
    <t>Nom</t>
  </si>
  <si>
    <t>montant cible</t>
  </si>
  <si>
    <t>date cible</t>
  </si>
  <si>
    <t>capital déjà affecté</t>
  </si>
  <si>
    <t>priorité</t>
  </si>
  <si>
    <t>contribution mensuelle optionnelle</t>
  </si>
  <si>
    <t>Contribution</t>
  </si>
  <si>
    <t>inflation</t>
  </si>
  <si>
    <t>rendement hypothétique</t>
  </si>
  <si>
    <t>hausse annuelle épargne</t>
  </si>
  <si>
    <t>scénario</t>
  </si>
  <si>
    <t>Épargne liquide retenue</t>
  </si>
  <si>
    <t>dépenses essentielles</t>
  </si>
  <si>
    <t>cible en mois</t>
  </si>
  <si>
    <t>Filtres type</t>
  </si>
  <si>
    <t>prêteur</t>
  </si>
  <si>
    <t>personne/foyer</t>
  </si>
  <si>
    <t>Capital restant</t>
  </si>
  <si>
    <t>mensualité</t>
  </si>
  <si>
    <t>coût/taux si connu</t>
  </si>
  <si>
    <t>échéance</t>
  </si>
  <si>
    <t>objet</t>
  </si>
  <si>
    <t>actif financé</t>
  </si>
  <si>
    <t>versement supplémentaire</t>
  </si>
  <si>
    <t>Salaire brut</t>
  </si>
  <si>
    <t>retenues</t>
  </si>
  <si>
    <t>cotisations</t>
  </si>
  <si>
    <t>IRG</t>
  </si>
  <si>
    <t>primes</t>
  </si>
  <si>
    <t>net</t>
  </si>
  <si>
    <t>période</t>
  </si>
  <si>
    <t>Actifs/passifs</t>
  </si>
  <si>
    <t>date valorisation</t>
  </si>
  <si>
    <t>propriétaire</t>
  </si>
  <si>
    <t>liquidité</t>
  </si>
  <si>
    <t>notes</t>
  </si>
  <si>
    <t>Capital fictif</t>
  </si>
  <si>
    <t>instrument</t>
  </si>
  <si>
    <t>quantité</t>
  </si>
  <si>
    <t>prix simulé</t>
  </si>
  <si>
    <t>frais simulés</t>
  </si>
  <si>
    <t>allocation cible</t>
  </si>
  <si>
    <t>Recherche type de simulation</t>
  </si>
  <si>
    <t>paramètres selon simulateur</t>
  </si>
  <si>
    <t>Options</t>
  </si>
  <si>
    <t>critères</t>
  </si>
  <si>
    <t>poids utilisateur optionnels</t>
  </si>
  <si>
    <t>hypothèses</t>
  </si>
  <si>
    <t>Recherche libre</t>
  </si>
  <si>
    <t>besoin</t>
  </si>
  <si>
    <t>établissement</t>
  </si>
  <si>
    <t>caractéristiques</t>
  </si>
  <si>
    <t>niveau</t>
  </si>
  <si>
    <t>thème</t>
  </si>
  <si>
    <t>format</t>
  </si>
  <si>
    <t>Texte</t>
  </si>
  <si>
    <t>filtres type</t>
  </si>
  <si>
    <t>espace personnel/partagé</t>
  </si>
  <si>
    <t>Vue mois/semaine</t>
  </si>
  <si>
    <t>ajouter événement</t>
  </si>
  <si>
    <t>Filtres : action, information, sécurité</t>
  </si>
  <si>
    <t>lu/non lu</t>
  </si>
  <si>
    <t>Sources</t>
  </si>
  <si>
    <t>consentements</t>
  </si>
  <si>
    <t>exports</t>
  </si>
  <si>
    <t>suppressions</t>
  </si>
  <si>
    <t>appareils</t>
  </si>
  <si>
    <t>fraîcheur</t>
  </si>
  <si>
    <t>Message court</t>
  </si>
  <si>
    <t>boutons de réponse rapide</t>
  </si>
  <si>
    <t>choix de thème</t>
  </si>
  <si>
    <t>contexte écran</t>
  </si>
  <si>
    <t>Nom logement/groupe</t>
  </si>
  <si>
    <t>membres</t>
  </si>
  <si>
    <t>date début</t>
  </si>
  <si>
    <t>catégories communes</t>
  </si>
  <si>
    <t>règle par défaut</t>
  </si>
  <si>
    <t>Mois</t>
  </si>
  <si>
    <t>montant estimé/réel</t>
  </si>
  <si>
    <t>fréquence</t>
  </si>
  <si>
    <t>payeur prévu</t>
  </si>
  <si>
    <t>partage</t>
  </si>
  <si>
    <t>budget</t>
  </si>
  <si>
    <t>participants</t>
  </si>
  <si>
    <t>règles de contribution</t>
  </si>
  <si>
    <t>mode de partage</t>
  </si>
  <si>
    <t>responsabilités</t>
  </si>
  <si>
    <t>dates</t>
  </si>
  <si>
    <t>règles exceptionnelles</t>
  </si>
  <si>
    <t>nom</t>
  </si>
  <si>
    <t>contributions</t>
  </si>
  <si>
    <t>Mode : séparé/commun partiel/principalement commun</t>
  </si>
  <si>
    <t>dépenses communes</t>
  </si>
  <si>
    <t>visibilité des totaux</t>
  </si>
  <si>
    <t>vue commun/mes contributions</t>
  </si>
  <si>
    <t>Cible</t>
  </si>
  <si>
    <t>capital commun</t>
  </si>
  <si>
    <t>contributions de chacun</t>
  </si>
  <si>
    <t>règle de contribution</t>
  </si>
  <si>
    <t>budget commun</t>
  </si>
  <si>
    <t>objectifs</t>
  </si>
  <si>
    <t>alertes</t>
  </si>
  <si>
    <t>éléments explicitement partagés</t>
  </si>
  <si>
    <t>Revenus</t>
  </si>
  <si>
    <t>dépenses essentielles/flexibles</t>
  </si>
  <si>
    <t>épargne liquide</t>
  </si>
  <si>
    <t>dettes</t>
  </si>
  <si>
    <t>objectif</t>
  </si>
  <si>
    <t>Horizon</t>
  </si>
  <si>
    <t>réaction à baisse hypothétique</t>
  </si>
  <si>
    <t>besoin liquidité</t>
  </si>
  <si>
    <t>connaissance</t>
  </si>
  <si>
    <t>réserve</t>
  </si>
  <si>
    <t>dette</t>
  </si>
  <si>
    <t>connaissances</t>
  </si>
  <si>
    <t>liquidité nécessaire</t>
  </si>
  <si>
    <t>classe d’actifs</t>
  </si>
  <si>
    <t>horizon pédagogique</t>
  </si>
  <si>
    <t>classe d’actif</t>
  </si>
  <si>
    <t>filtre</t>
  </si>
  <si>
    <t>portefeuille</t>
  </si>
  <si>
    <t>simulations</t>
  </si>
  <si>
    <t>format d’export</t>
  </si>
  <si>
    <t>aide familiale</t>
  </si>
  <si>
    <t>job</t>
  </si>
  <si>
    <t>freelance</t>
  </si>
  <si>
    <t>logement</t>
  </si>
  <si>
    <t>transport</t>
  </si>
  <si>
    <t>restauration</t>
  </si>
  <si>
    <t>études</t>
  </si>
  <si>
    <t>téléphone</t>
  </si>
  <si>
    <t>mode cash mensuel</t>
  </si>
  <si>
    <t>classification ressources</t>
  </si>
  <si>
    <t>objectif autonomie</t>
  </si>
  <si>
    <t>type de dépense</t>
  </si>
  <si>
    <t>date prévue</t>
  </si>
  <si>
    <t>montant déjà provisionné</t>
  </si>
  <si>
    <t>âge</t>
  </si>
  <si>
    <t>résidence</t>
  </si>
  <si>
    <t>carte</t>
  </si>
  <si>
    <t>paiement en ligne</t>
  </si>
  <si>
    <t>retrait</t>
  </si>
  <si>
    <t>virement</t>
  </si>
  <si>
    <t>budget frais</t>
  </si>
  <si>
    <t>revenu cible</t>
  </si>
  <si>
    <t>coût logement</t>
  </si>
  <si>
    <t>brut/net d’exemple</t>
  </si>
  <si>
    <t>dépenses futures</t>
  </si>
  <si>
    <t>salaire net</t>
  </si>
  <si>
    <t>repas</t>
  </si>
  <si>
    <t>distance</t>
  </si>
  <si>
    <t>temps trajet</t>
  </si>
  <si>
    <t>formation</t>
  </si>
  <si>
    <t>avantages</t>
  </si>
  <si>
    <t>modules</t>
  </si>
  <si>
    <t>compétences</t>
  </si>
  <si>
    <t>Membres</t>
  </si>
  <si>
    <t>rôle adulte/enfant</t>
  </si>
  <si>
    <t>revenus communs</t>
  </si>
  <si>
    <t>objectifs famille</t>
  </si>
  <si>
    <t>Type projet</t>
  </si>
  <si>
    <t>capital affecté</t>
  </si>
  <si>
    <t>libellé</t>
  </si>
  <si>
    <t>capital déjà réservé</t>
  </si>
  <si>
    <t>alias/prénom facultatif</t>
  </si>
  <si>
    <t>type de projet</t>
  </si>
  <si>
    <t>coût récurrent</t>
  </si>
  <si>
    <t>données communes</t>
  </si>
  <si>
    <t>dettes communes</t>
  </si>
  <si>
    <t>Date premier salaire</t>
  </si>
  <si>
    <t>emploi</t>
  </si>
  <si>
    <t>charges nouvelles</t>
  </si>
  <si>
    <t>dette éventuelle</t>
  </si>
  <si>
    <t>Montants ou % : charges, variable, réserve, objectifs, libre</t>
  </si>
  <si>
    <t>revenu net</t>
  </si>
  <si>
    <t>charges</t>
  </si>
  <si>
    <t>sécurité</t>
  </si>
  <si>
    <t>loisirs</t>
  </si>
  <si>
    <t>investissement pédagogique</t>
  </si>
  <si>
    <t>comptes</t>
  </si>
  <si>
    <t>espèces</t>
  </si>
  <si>
    <t>or</t>
  </si>
  <si>
    <t>véhicule</t>
  </si>
  <si>
    <t>immobilier</t>
  </si>
  <si>
    <t>placements</t>
  </si>
  <si>
    <t>revenu</t>
  </si>
  <si>
    <t>ancienneté</t>
  </si>
  <si>
    <t>apport</t>
  </si>
  <si>
    <t>documents</t>
  </si>
  <si>
    <t>mensualité maximale</t>
  </si>
  <si>
    <t>durée</t>
  </si>
  <si>
    <t>préférence conventionnelle/islamique</t>
  </si>
  <si>
    <t>garanties</t>
  </si>
  <si>
    <t>Âge</t>
  </si>
  <si>
    <t>classe/niveau</t>
  </si>
  <si>
    <t>argent de poche facultatif</t>
  </si>
  <si>
    <t>niveau de connaissance</t>
  </si>
  <si>
    <t>Semaine</t>
  </si>
  <si>
    <t>mode réel/fictif</t>
  </si>
  <si>
    <t>Choix mission</t>
  </si>
  <si>
    <t>montant fictif</t>
  </si>
  <si>
    <t>décisions</t>
  </si>
  <si>
    <t>ville</t>
  </si>
  <si>
    <t>logement estimé</t>
  </si>
  <si>
    <t>alimentation</t>
  </si>
  <si>
    <t>frais d’études</t>
  </si>
  <si>
    <t>télécom</t>
  </si>
  <si>
    <t>salaire hypothétique</t>
  </si>
  <si>
    <t>loyer</t>
  </si>
  <si>
    <t>épargne cible</t>
  </si>
  <si>
    <t>autres charges</t>
  </si>
  <si>
    <t>quiz : hameçonnage</t>
  </si>
  <si>
    <t>mot de passe</t>
  </si>
  <si>
    <t>code OTP</t>
  </si>
  <si>
    <t>liens frauduleux</t>
  </si>
  <si>
    <t>achats en ligne</t>
  </si>
  <si>
    <t>modules réalisés</t>
  </si>
  <si>
    <t>quiz</t>
  </si>
  <si>
    <t>budget terminé</t>
  </si>
  <si>
    <t>objectif créé</t>
  </si>
  <si>
    <t>Type espace</t>
  </si>
  <si>
    <t>permissions</t>
  </si>
  <si>
    <t>règle de partage par défaut</t>
  </si>
  <si>
    <t>payeur</t>
  </si>
  <si>
    <t>règle égalitaire/%/montants</t>
  </si>
  <si>
    <t>justificatif</t>
  </si>
  <si>
    <t>Mode brut/optimisé</t>
  </si>
  <si>
    <t>exclure petit solde</t>
  </si>
  <si>
    <t>enregistrer paiement</t>
  </si>
  <si>
    <t>Visibilité revenus, transactions, actifs, objectifs</t>
  </si>
  <si>
    <t>droit édition</t>
  </si>
  <si>
    <t>propriétaire donnée</t>
  </si>
  <si>
    <t>objectif partagé</t>
  </si>
  <si>
    <t>autres revenus</t>
  </si>
  <si>
    <t>charges fixes</t>
  </si>
  <si>
    <t>mensualités dette</t>
  </si>
  <si>
    <t>foyer/personnel</t>
  </si>
  <si>
    <t>dépenses saisonnières</t>
  </si>
  <si>
    <t>transaction</t>
  </si>
  <si>
    <t>commerçant</t>
  </si>
  <si>
    <t>périodicité</t>
  </si>
  <si>
    <t>date prochaine échéance</t>
  </si>
  <si>
    <t>revenus</t>
  </si>
  <si>
    <t>stabilité</t>
  </si>
  <si>
    <t>pièces</t>
  </si>
  <si>
    <t>Actions, résultats, erreurs et notifications</t>
  </si>
  <si>
    <t>Vue normalisée des interactions et sorties de chaque écran, utile pour UX, front-end, QA et rédaction des tickets.</t>
  </si>
  <si>
    <t>Action / bouton</t>
  </si>
  <si>
    <t>Créer mon compte</t>
  </si>
  <si>
    <t>Se connecter</t>
  </si>
  <si>
    <t>Mot de passe oublié</t>
  </si>
  <si>
    <t>Résultat / sortie</t>
  </si>
  <si>
    <t>Session authentifiée</t>
  </si>
  <si>
    <t>profil minimal créé</t>
  </si>
  <si>
    <t>consentements versionnés</t>
  </si>
  <si>
    <t>Erreur / validation</t>
  </si>
  <si>
    <t>Identifiant invalide</t>
  </si>
  <si>
    <t>compte existant</t>
  </si>
  <si>
    <t>code expiré</t>
  </si>
  <si>
    <t>indisponibilité service</t>
  </si>
  <si>
    <t>Notification / alerte</t>
  </si>
  <si>
    <t>Confirmation création</t>
  </si>
  <si>
    <t>alerte connexion inhabituelle si mécanisme disponible</t>
  </si>
  <si>
    <t>Continuer</t>
  </si>
  <si>
    <t>Je ne sais pas</t>
  </si>
  <si>
    <t>Modifier plus tard</t>
  </si>
  <si>
    <t>Persona de départ</t>
  </si>
  <si>
    <t>modules activés</t>
  </si>
  <si>
    <t>onboarding adapté</t>
  </si>
  <si>
    <t>Âge incohérent</t>
  </si>
  <si>
    <t>combinaison interdite par règle d’âge</t>
  </si>
  <si>
    <t>Aucune notification externe</t>
  </si>
  <si>
    <t>Passer</t>
  </si>
  <si>
    <t>Pourquoi cette question ?</t>
  </si>
  <si>
    <t>Enregistrer et quitter</t>
  </si>
  <si>
    <t>Premier budget, premier indicateur, niveau de complétude</t>
  </si>
  <si>
    <t>Montant négatif interdit selon champ</t>
  </si>
  <si>
    <t>devise obligatoire</t>
  </si>
  <si>
    <t>incohérence &gt; seuil =&gt; demander confirmation</t>
  </si>
  <si>
    <t>Rappel onboarding uniquement opt-in</t>
  </si>
  <si>
    <t>Voir détail</t>
  </si>
  <si>
    <t>Ajouter une dépense</t>
  </si>
  <si>
    <t>Mettre à jour</t>
  </si>
  <si>
    <t>Simuler</t>
  </si>
  <si>
    <t>Pourquoi ?</t>
  </si>
  <si>
    <t>Voir mes 3 priorités</t>
  </si>
  <si>
    <t>3–5 KPI</t>
  </si>
  <si>
    <t>1–3 actions</t>
  </si>
  <si>
    <t>objectif prioritaire</t>
  </si>
  <si>
    <t>échéances</t>
  </si>
  <si>
    <t>Donnée indisponible =&gt; afficher “non calculé”, jamais 0 par défaut</t>
  </si>
  <si>
    <t>Alertes budget, échéance, objectif, donnée ancienne selon préférences</t>
  </si>
  <si>
    <t>Ajouter revenu</t>
  </si>
  <si>
    <t>Ajouter dépense</t>
  </si>
  <si>
    <t>Créer budget</t>
  </si>
  <si>
    <t>Voir transactions</t>
  </si>
  <si>
    <t>Exporter</t>
  </si>
  <si>
    <t>Revenus, dépenses, flux net, répartition, tendance, prévu/réel</t>
  </si>
  <si>
    <t>Doublon suspect</t>
  </si>
  <si>
    <t>date future non autorisée sauf dépense planifiée</t>
  </si>
  <si>
    <t>Budget à 80/100%</t>
  </si>
  <si>
    <t>transaction récurrente prévue</t>
  </si>
  <si>
    <t>Enregistrer</t>
  </si>
  <si>
    <t>Répartir automatiquement selon historique</t>
  </si>
  <si>
    <t>Ajouter catégorie</t>
  </si>
  <si>
    <t>Réinitialiser</t>
  </si>
  <si>
    <t>Comparer au réel</t>
  </si>
  <si>
    <t>Budget total</t>
  </si>
  <si>
    <t>reste non affecté</t>
  </si>
  <si>
    <t>alertes de cohérence</t>
  </si>
  <si>
    <t>Budget &gt; revenu : autorisé mais signalé</t>
  </si>
  <si>
    <t>montant invalide</t>
  </si>
  <si>
    <t>chevauchement période</t>
  </si>
  <si>
    <t>Seuils 80%, 100%, dépassement configurables</t>
  </si>
  <si>
    <t>Enregistrer et ajouter</t>
  </si>
  <si>
    <t>Scanner/importer (phase ultérieure)</t>
  </si>
  <si>
    <t>Annuler</t>
  </si>
  <si>
    <t>Transaction créée</t>
  </si>
  <si>
    <t>budget et tableau de bord recalculés</t>
  </si>
  <si>
    <t>Montant &lt;=0</t>
  </si>
  <si>
    <t>date invalide</t>
  </si>
  <si>
    <t>catégorie manquante si obligatoire</t>
  </si>
  <si>
    <t>Confirmation</t>
  </si>
  <si>
    <t>alerte dépassement si la transaction déclenche un seuil</t>
  </si>
  <si>
    <t>Filtrer</t>
  </si>
  <si>
    <t>Trier</t>
  </si>
  <si>
    <t>Modifier catégorie</t>
  </si>
  <si>
    <t>Marquer récurrent</t>
  </si>
  <si>
    <t>Supprimer/annuler selon règles</t>
  </si>
  <si>
    <t>Liste paginée</t>
  </si>
  <si>
    <t>totaux filtrés</t>
  </si>
  <si>
    <t>tendances</t>
  </si>
  <si>
    <t>Filtre incohérent</t>
  </si>
  <si>
    <t>édition interdite pour source verrouillée</t>
  </si>
  <si>
    <t>Aucune par défaut</t>
  </si>
  <si>
    <t>Créer cet objectif</t>
  </si>
  <si>
    <t>Explorer</t>
  </si>
  <si>
    <t>Objectif personnalisé</t>
  </si>
  <si>
    <t>Catalogue contextualisé : urgence, études, permis, voiture, logement, voyage, mariage, enfant, retraite, projet, investissement</t>
  </si>
  <si>
    <t>Montant/horizon manquant seulement lors de la création</t>
  </si>
  <si>
    <t>Aucune</t>
  </si>
  <si>
    <t>Créer</t>
  </si>
  <si>
    <t>Simuler avant de créer</t>
  </si>
  <si>
    <t>Objectif, progression initiale, contribution nécessaire si calculable</t>
  </si>
  <si>
    <t>Date passée</t>
  </si>
  <si>
    <t>cible &lt;= capital =&gt; proposer objectif atteint</t>
  </si>
  <si>
    <t>Rappel contribution opt-in</t>
  </si>
  <si>
    <t>Adapter mon budget</t>
  </si>
  <si>
    <t>Comparer scénarios</t>
  </si>
  <si>
    <t>Marquer contribution</t>
  </si>
  <si>
    <t>Mettre en pause</t>
  </si>
  <si>
    <t>Courbe</t>
  </si>
  <si>
    <t>date estimée</t>
  </si>
  <si>
    <t>capital nominal/réel</t>
  </si>
  <si>
    <t>manque/excédent</t>
  </si>
  <si>
    <t>contribution nécessaire</t>
  </si>
  <si>
    <t>Hypothèses hors bornes configurées</t>
  </si>
  <si>
    <t>rendement négatif autorisé si simulation</t>
  </si>
  <si>
    <t>Objectif en retard</t>
  </si>
  <si>
    <t>jalon atteint</t>
  </si>
  <si>
    <t>contribution oubliée</t>
  </si>
  <si>
    <t>Modifier cible</t>
  </si>
  <si>
    <t>Ajouter épargne</t>
  </si>
  <si>
    <t>Voir composition</t>
  </si>
  <si>
    <t>Mois de réserve</t>
  </si>
  <si>
    <t>écart</t>
  </si>
  <si>
    <t>Dépenses essentielles = 0 =&gt; non calculable</t>
  </si>
  <si>
    <t>Réserve sous seuil choisi</t>
  </si>
  <si>
    <t>cible atteinte</t>
  </si>
  <si>
    <t>Ajouter dette</t>
  </si>
  <si>
    <t>Simuler remboursement</t>
  </si>
  <si>
    <t>Prioriser</t>
  </si>
  <si>
    <t>Encours</t>
  </si>
  <si>
    <t>mensualités</t>
  </si>
  <si>
    <t>taux d’effort</t>
  </si>
  <si>
    <t>Indice pédagogique d’équilibre de l’endettement</t>
  </si>
  <si>
    <t>Mensualité &gt; encours incohérente selon produit</t>
  </si>
  <si>
    <t>dates invalides</t>
  </si>
  <si>
    <t>Échéance proche</t>
  </si>
  <si>
    <t>dette sous pression</t>
  </si>
  <si>
    <t>retard déclaré</t>
  </si>
  <si>
    <t>Simuler avalanche</t>
  </si>
  <si>
    <t>Simuler snowball</t>
  </si>
  <si>
    <t>Ajouter paiement</t>
  </si>
  <si>
    <t>Modifier</t>
  </si>
  <si>
    <t>Voir impact</t>
  </si>
  <si>
    <t>Coût restant estimé</t>
  </si>
  <si>
    <t>date zéro dette</t>
  </si>
  <si>
    <t>économie temps/coût selon scénario</t>
  </si>
  <si>
    <t>Taux non numérique</t>
  </si>
  <si>
    <t>versement &gt; contraintes configurées</t>
  </si>
  <si>
    <t>Paiement prévu</t>
  </si>
  <si>
    <t>objectif zéro dette jalon</t>
  </si>
  <si>
    <t>Importer</t>
  </si>
  <si>
    <t>Saisir manuellement</t>
  </si>
  <si>
    <t>Expliquer une ligne</t>
  </si>
  <si>
    <t>Ajouter au revenu mensuel</t>
  </si>
  <si>
    <t>Décomposition</t>
  </si>
  <si>
    <t>taux de retenue</t>
  </si>
  <si>
    <t>éléments non reconnus</t>
  </si>
  <si>
    <t>Document illisible</t>
  </si>
  <si>
    <t>somme incohérente</t>
  </si>
  <si>
    <t>champ obligatoire absent</t>
  </si>
  <si>
    <t>Fiche ajoutée</t>
  </si>
  <si>
    <t>revenu mis à jour après confirmation</t>
  </si>
  <si>
    <t>Ajouter actif</t>
  </si>
  <si>
    <t>Mettre à jour valeur</t>
  </si>
  <si>
    <t>Voir historique</t>
  </si>
  <si>
    <t>Patrimoine net</t>
  </si>
  <si>
    <t>allocation par type</t>
  </si>
  <si>
    <t>évolution</t>
  </si>
  <si>
    <t>Valeur non positive</t>
  </si>
  <si>
    <t>date impossible</t>
  </si>
  <si>
    <t>devise manquante</t>
  </si>
  <si>
    <t>Valeur ancienne</t>
  </si>
  <si>
    <t>variation importante après mise à jour</t>
  </si>
  <si>
    <t>Acheter fictivement</t>
  </si>
  <si>
    <t>Vendre</t>
  </si>
  <si>
    <t>Rééquilibrer</t>
  </si>
  <si>
    <t>Comparer au scénario</t>
  </si>
  <si>
    <t>Valeur fictive</t>
  </si>
  <si>
    <t>rendement</t>
  </si>
  <si>
    <t>allocation</t>
  </si>
  <si>
    <t>volatilité pédagogique si données disponibles</t>
  </si>
  <si>
    <t>Instrument indisponible</t>
  </si>
  <si>
    <t>quantité invalide</t>
  </si>
  <si>
    <t>prix manquant</t>
  </si>
  <si>
    <t>Jalon pédagogique</t>
  </si>
  <si>
    <t>allocation concentrée =&gt; message éducatif, pas alarme financière</t>
  </si>
  <si>
    <t>Lancer</t>
  </si>
  <si>
    <t>Modifier hypothèses</t>
  </si>
  <si>
    <t>Enregistrer scénario</t>
  </si>
  <si>
    <t>Comparer</t>
  </si>
  <si>
    <t>Partager/exporter</t>
  </si>
  <si>
    <t>Résultat, hypothèses, sensibilité, avertissement indicatif</t>
  </si>
  <si>
    <t>Paramètre manquant</t>
  </si>
  <si>
    <t>valeur hors plage</t>
  </si>
  <si>
    <t>calcul impossible</t>
  </si>
  <si>
    <t>Aucune notification sauf scénario sauvegardé/jalon</t>
  </si>
  <si>
    <t>Ajouter option</t>
  </si>
  <si>
    <t>Retirer</t>
  </si>
  <si>
    <t>Modifier critère</t>
  </si>
  <si>
    <t>Approfondir</t>
  </si>
  <si>
    <t>Tableau comparatif : coût, durée, liquidité, risque, frais, conditions, compatibilité</t>
  </si>
  <si>
    <t>Données non comparables</t>
  </si>
  <si>
    <t>devises/horizons différents =&gt; demander normalisation</t>
  </si>
  <si>
    <t>Rechercher</t>
  </si>
  <si>
    <t>Sauvegarder</t>
  </si>
  <si>
    <t>Voir source</t>
  </si>
  <si>
    <t>Résultats datés, source, fraîcheur, critères publics, informations manquantes</t>
  </si>
  <si>
    <t>Aucun résultat</t>
  </si>
  <si>
    <t>source trop ancienne</t>
  </si>
  <si>
    <t>filtre trop restrictif</t>
  </si>
  <si>
    <t>Alerte offre sauvegardée uniquement opt-in et si dispositif de veille existe</t>
  </si>
  <si>
    <t>Lire</t>
  </si>
  <si>
    <t>Voir exemple</t>
  </si>
  <si>
    <t>Quiz</t>
  </si>
  <si>
    <t>Ajouter aux favoris</t>
  </si>
  <si>
    <t>Résultats cours, glossaire, mini-guides, quiz</t>
  </si>
  <si>
    <t>progression</t>
  </si>
  <si>
    <t>Contenu indisponible</t>
  </si>
  <si>
    <t>quiz expiré/version remplacée</t>
  </si>
  <si>
    <t>Rappel d’apprentissage opt-in</t>
  </si>
  <si>
    <t>badge progression</t>
  </si>
  <si>
    <t>Ouvrir résultat</t>
  </si>
  <si>
    <t>Effacer</t>
  </si>
  <si>
    <t>Voir tous</t>
  </si>
  <si>
    <t>Résultats groupés : Actions, Mes données, Objectifs, Apprendre, Explorer</t>
  </si>
  <si>
    <t>Aucun résultat =&gt; reformulations et catégories disponibles</t>
  </si>
  <si>
    <t>Planifier paiement</t>
  </si>
  <si>
    <t>Marquer payé</t>
  </si>
  <si>
    <t>Reporter</t>
  </si>
  <si>
    <t>Ouvrir dette/facture</t>
  </si>
  <si>
    <t>Calendrier + total prévu par période + jours de tension</t>
  </si>
  <si>
    <t>Date passée non traitée =&gt; proposer marquer payé/ignoré</t>
  </si>
  <si>
    <t>Rappels J-7/J-1 configurables</t>
  </si>
  <si>
    <t>Ouvrir</t>
  </si>
  <si>
    <t>Marquer lu</t>
  </si>
  <si>
    <t>Désactiver type</t>
  </si>
  <si>
    <t>Tout marquer lu</t>
  </si>
  <si>
    <t>Liste chronologique avec CTA profond</t>
  </si>
  <si>
    <t>Lien cible supprimé =&gt; ouvrir écran parent</t>
  </si>
  <si>
    <t>Push/email/in-app selon consentement</t>
  </si>
  <si>
    <t>Corriger</t>
  </si>
  <si>
    <t>Retirer consentement</t>
  </si>
  <si>
    <t>Supprimer</t>
  </si>
  <si>
    <t>Déconnecter appareil</t>
  </si>
  <si>
    <t>Inventaire données, origine, date, statut, usage autorisé</t>
  </si>
  <si>
    <t>Action impossible si obligation de conservation =&gt; expliquer</t>
  </si>
  <si>
    <t>Confirmation modification consentement / export prêt</t>
  </si>
  <si>
    <t>Questions suggérées</t>
  </si>
  <si>
    <t>Oui/Non</t>
  </si>
  <si>
    <t>Ouvrir écran</t>
  </si>
  <si>
    <t>Recommencer</t>
  </si>
  <si>
    <t>Parler au support si disponible</t>
  </si>
  <si>
    <t>Réponse modèle + données calculées + liens</t>
  </si>
  <si>
    <t>arbre de décision</t>
  </si>
  <si>
    <t>FAQ</t>
  </si>
  <si>
    <t>Message non compris =&gt; “Je n’ai pas compris. Choisissez une option…”</t>
  </si>
  <si>
    <t>API indisponible =&gt; réponse de secours</t>
  </si>
  <si>
    <t>Pas de push autonome</t>
  </si>
  <si>
    <t>uniquement interaction utilisateur</t>
  </si>
  <si>
    <t>Inviter</t>
  </si>
  <si>
    <t>Ajouter plus tard</t>
  </si>
  <si>
    <t>Espace + invitations</t>
  </si>
  <si>
    <t>Invitation invalide</t>
  </si>
  <si>
    <t>Invitation</t>
  </si>
  <si>
    <t>Régler</t>
  </si>
  <si>
    <t>Ajouter facture</t>
  </si>
  <si>
    <t>Voir qui doit quoi</t>
  </si>
  <si>
    <t>Dépenses communes</t>
  </si>
  <si>
    <t>factures restantes</t>
  </si>
  <si>
    <t>mon solde</t>
  </si>
  <si>
    <t>règlements suggérés</t>
  </si>
  <si>
    <t>Données de membre supprimé =&gt; conserver historique anonymisé selon politique</t>
  </si>
  <si>
    <t>Facture proche</t>
  </si>
  <si>
    <t>solde à régler</t>
  </si>
  <si>
    <t>Ajouter</t>
  </si>
  <si>
    <t>Répartir</t>
  </si>
  <si>
    <t>Calendrier + historique</t>
  </si>
  <si>
    <t>Échéance ou règle invalide</t>
  </si>
  <si>
    <t>J-7/J-1</t>
  </si>
  <si>
    <t>Créer enveloppe</t>
  </si>
  <si>
    <t>Affecter dépense</t>
  </si>
  <si>
    <t>Modifier budget</t>
  </si>
  <si>
    <t>Clôturer période</t>
  </si>
  <si>
    <t>consommé</t>
  </si>
  <si>
    <t>engagé</t>
  </si>
  <si>
    <t>reste</t>
  </si>
  <si>
    <t>projection</t>
  </si>
  <si>
    <t>parts de chacun</t>
  </si>
  <si>
    <t>Budget &lt;=0</t>
  </si>
  <si>
    <t>participant sans permission</t>
  </si>
  <si>
    <t>Seuil 80/100/110 % configurable</t>
  </si>
  <si>
    <t>Proposer</t>
  </si>
  <si>
    <t>Accepter</t>
  </si>
  <si>
    <t>Refuser</t>
  </si>
  <si>
    <t>Archiver</t>
  </si>
  <si>
    <t>accord versionné</t>
  </si>
  <si>
    <t>date d’entrée en vigueur</t>
  </si>
  <si>
    <t>historique</t>
  </si>
  <si>
    <t>Membre non confirmé</t>
  </si>
  <si>
    <t>règle contradictoire</t>
  </si>
  <si>
    <t>Nouvelle version à accepter</t>
  </si>
  <si>
    <t>Contribuer</t>
  </si>
  <si>
    <t>Clôturer</t>
  </si>
  <si>
    <t>capital</t>
  </si>
  <si>
    <t>contribution de chacun</t>
  </si>
  <si>
    <t>Contribution &gt; budget personnel partagé</t>
  </si>
  <si>
    <t>date passée</t>
  </si>
  <si>
    <t>Palier atteint</t>
  </si>
  <si>
    <t>échéance proche</t>
  </si>
  <si>
    <t>Configurer permissions</t>
  </si>
  <si>
    <t>Espace couple + matrice initiale</t>
  </si>
  <si>
    <t>Consentement manquant</t>
  </si>
  <si>
    <t>Changement permissions</t>
  </si>
  <si>
    <t>Ajouter dépense commune</t>
  </si>
  <si>
    <t>Créer objectif</t>
  </si>
  <si>
    <t>Voir budget</t>
  </si>
  <si>
    <t>Modifier partage</t>
  </si>
  <si>
    <t>Revenus communs autorisés</t>
  </si>
  <si>
    <t>dépenses</t>
  </si>
  <si>
    <t>épargne commune</t>
  </si>
  <si>
    <t>réserve commune</t>
  </si>
  <si>
    <t>Donnée partenaire révoquée =&gt; recalcul partiel</t>
  </si>
  <si>
    <t>changement partage</t>
  </si>
  <si>
    <t>Modifier contribution</t>
  </si>
  <si>
    <t>Trajectoire commune + contributions</t>
  </si>
  <si>
    <t>Contributions &gt; capacité non bloquantes mais signalées</t>
  </si>
  <si>
    <t>Jalon objectif</t>
  </si>
  <si>
    <t>Valider revue</t>
  </si>
  <si>
    <t>Ajuster contribution</t>
  </si>
  <si>
    <t>Modifier objectif</t>
  </si>
  <si>
    <t>Planifier prochaine revue</t>
  </si>
  <si>
    <t>écarts</t>
  </si>
  <si>
    <t>décisions à confirmer</t>
  </si>
  <si>
    <t>objectifs hors trajectoire</t>
  </si>
  <si>
    <t>prochaine échéance</t>
  </si>
  <si>
    <t>Données communes incomplètes</t>
  </si>
  <si>
    <t>Rappel de revue selon fréquence choisie</t>
  </si>
  <si>
    <t>Calculer ma capacité</t>
  </si>
  <si>
    <t>Voir ma réserve</t>
  </si>
  <si>
    <t>Capacité d’épargne</t>
  </si>
  <si>
    <t>taux épargne</t>
  </si>
  <si>
    <t>mois réserve</t>
  </si>
  <si>
    <t>priorité pédagogique</t>
  </si>
  <si>
    <t>Capacité négative =&gt; afficher tension sans jugement</t>
  </si>
  <si>
    <t>Progression réserve</t>
  </si>
  <si>
    <t>Adapter budget</t>
  </si>
  <si>
    <t>Voir inflation</t>
  </si>
  <si>
    <t>Apprendre</t>
  </si>
  <si>
    <t>Capacité</t>
  </si>
  <si>
    <t>épargne réelle</t>
  </si>
  <si>
    <t>taux</t>
  </si>
  <si>
    <t>valeur future</t>
  </si>
  <si>
    <t>valeur réelle</t>
  </si>
  <si>
    <t>prochaine action</t>
  </si>
  <si>
    <t>Hypothèses manquantes</t>
  </si>
  <si>
    <t>jalon</t>
  </si>
  <si>
    <t>objectif en retard</t>
  </si>
  <si>
    <t>Répondre</t>
  </si>
  <si>
    <t>Voir explication</t>
  </si>
  <si>
    <t>Refaire</t>
  </si>
  <si>
    <t>Ouvrir portefeuille fictif</t>
  </si>
  <si>
    <t>Profil pédagogique descriptif, dimensions et limites</t>
  </si>
  <si>
    <t>Réponses contradictoires =&gt; demander clarification</t>
  </si>
  <si>
    <t>Voir mes dettes</t>
  </si>
  <si>
    <t>Commencer un module</t>
  </si>
  <si>
    <t>Données insuffisantes pour classer l’étape</t>
  </si>
  <si>
    <t>Niveau débloqué après prérequis</t>
  </si>
  <si>
    <t>Faire un quiz</t>
  </si>
  <si>
    <t>Tester dans le portefeuille fictif</t>
  </si>
  <si>
    <t>fiches pédagogiques</t>
  </si>
  <si>
    <t>exemples</t>
  </si>
  <si>
    <t>notions associées</t>
  </si>
  <si>
    <t>Contenu indisponible ou obsolète</t>
  </si>
  <si>
    <t>Nouveau module disponible</t>
  </si>
  <si>
    <t>Voir fiche</t>
  </si>
  <si>
    <t>Ajouter au portefeuille fictif</t>
  </si>
  <si>
    <t>Comprendre</t>
  </si>
  <si>
    <t>fiche</t>
  </si>
  <si>
    <t>volatilité</t>
  </si>
  <si>
    <t>source/date</t>
  </si>
  <si>
    <t>données fictives ou pédagogiques</t>
  </si>
  <si>
    <t>Donnée marché absente ou ancienne</t>
  </si>
  <si>
    <t>Source mise à jour</t>
  </si>
  <si>
    <t>Réinitialiser historique avec confirmation</t>
  </si>
  <si>
    <t>journal</t>
  </si>
  <si>
    <t>résultats</t>
  </si>
  <si>
    <t>PDF/XLSX/CSV marqué Simulation</t>
  </si>
  <si>
    <t>Portefeuille vide</t>
  </si>
  <si>
    <t>export impossible</t>
  </si>
  <si>
    <t>Export prêt</t>
  </si>
  <si>
    <t>Ajouter une ressource</t>
  </si>
  <si>
    <t>Estimer mes dépenses</t>
  </si>
  <si>
    <t>Budget initial + autonomie calculable si données suffisantes</t>
  </si>
  <si>
    <t>Fréquence manquante pour ressource périodique</t>
  </si>
  <si>
    <t>Rappel budget début de mois opt-in</t>
  </si>
  <si>
    <t>Voir autonomie</t>
  </si>
  <si>
    <t>Trouver une explication</t>
  </si>
  <si>
    <t>Argent disponible</t>
  </si>
  <si>
    <t>ressources</t>
  </si>
  <si>
    <t>jours restants</t>
  </si>
  <si>
    <t>autonomie</t>
  </si>
  <si>
    <t>Données insuffisantes =&gt; autonomie non calculée</t>
  </si>
  <si>
    <t>Risque de fin de mois</t>
  </si>
  <si>
    <t>objectif jalon</t>
  </si>
  <si>
    <t>Modifier classification</t>
  </si>
  <si>
    <t>Simuler job/revenu</t>
  </si>
  <si>
    <t>Fixer cible</t>
  </si>
  <si>
    <t>Indice + composantes + scénario</t>
  </si>
  <si>
    <t>Ressource non classée</t>
  </si>
  <si>
    <t>Jalon cible</t>
  </si>
  <si>
    <t>Provisionner</t>
  </si>
  <si>
    <t>Modifier date</t>
  </si>
  <si>
    <t>Affecter à une enveloppe</t>
  </si>
  <si>
    <t>provision mensuelle recommandée par règle</t>
  </si>
  <si>
    <t>montant restant</t>
  </si>
  <si>
    <t>échéancier</t>
  </si>
  <si>
    <t>montant négatif</t>
  </si>
  <si>
    <t>échéance sans montant</t>
  </si>
  <si>
    <t>J-30 / J-7 selon préférence et montant non provisionné</t>
  </si>
  <si>
    <t>Ajouter au comparatif</t>
  </si>
  <si>
    <t>offres filtrées</t>
  </si>
  <si>
    <t>coût annuel</t>
  </si>
  <si>
    <t>services</t>
  </si>
  <si>
    <t>conditions</t>
  </si>
  <si>
    <t>Offre obsolète</t>
  </si>
  <si>
    <t>critère manquant</t>
  </si>
  <si>
    <t>Offre sauvegardée mise à jour</t>
  </si>
  <si>
    <t>Simuler premier salaire</t>
  </si>
  <si>
    <t>Comprendre une fiche de paie</t>
  </si>
  <si>
    <t>Passer au parcours Jeune actif</t>
  </si>
  <si>
    <t>budget futur</t>
  </si>
  <si>
    <t>net disponible</t>
  </si>
  <si>
    <t>épargne potentielle</t>
  </si>
  <si>
    <t>modules à suivre</t>
  </si>
  <si>
    <t>Revenu &lt;=0</t>
  </si>
  <si>
    <t>barème indisponible</t>
  </si>
  <si>
    <t>À l’obtention d’un emploi, proposer le changement de parcours</t>
  </si>
  <si>
    <t>Ajouter offre</t>
  </si>
  <si>
    <t>net économique</t>
  </si>
  <si>
    <t>coût de trajet</t>
  </si>
  <si>
    <t>avantages valorisés</t>
  </si>
  <si>
    <t>comparaison multicritère</t>
  </si>
  <si>
    <t>Valeur d’avantage inconnue</t>
  </si>
  <si>
    <t>coût de trajet absent</t>
  </si>
  <si>
    <t>Continuer parcours</t>
  </si>
  <si>
    <t>complétude</t>
  </si>
  <si>
    <t>étapes conseillées par règles</t>
  </si>
  <si>
    <t>Données insuffisantes pour certaines rubriques</t>
  </si>
  <si>
    <t>Nouveau niveau de progression</t>
  </si>
  <si>
    <t>Ajouter membre</t>
  </si>
  <si>
    <t>Inviter adulte</t>
  </si>
  <si>
    <t>jumeau financier du foyer initial</t>
  </si>
  <si>
    <t>Rôle/âge incohérent</t>
  </si>
  <si>
    <t>Invitation adulte</t>
  </si>
  <si>
    <t>Planifier</t>
  </si>
  <si>
    <t>Objectif enfant</t>
  </si>
  <si>
    <t>Voir sécurité</t>
  </si>
  <si>
    <t>Voir patrimoine</t>
  </si>
  <si>
    <t>Revenus foyer</t>
  </si>
  <si>
    <t>reste à vivre</t>
  </si>
  <si>
    <t>dépenses enfants</t>
  </si>
  <si>
    <t>Données partielles identifiées</t>
  </si>
  <si>
    <t>Mois chargé</t>
  </si>
  <si>
    <t>scolarité</t>
  </si>
  <si>
    <t>Planifier contribution</t>
  </si>
  <si>
    <t>Trajectoire de projet</t>
  </si>
  <si>
    <t>Horizon invalide</t>
  </si>
  <si>
    <t>Jalon contribution</t>
  </si>
  <si>
    <t>Affecter à enveloppe</t>
  </si>
  <si>
    <t>provision mensuelle</t>
  </si>
  <si>
    <t>calendrier</t>
  </si>
  <si>
    <t>montant manquant</t>
  </si>
  <si>
    <t>impact budget</t>
  </si>
  <si>
    <t>Échéance passée</t>
  </si>
  <si>
    <t>J-30/J-7</t>
  </si>
  <si>
    <t>provision insuffisante</t>
  </si>
  <si>
    <t>Créer projet</t>
  </si>
  <si>
    <t>Modifier visibilité</t>
  </si>
  <si>
    <t>budget enfant</t>
  </si>
  <si>
    <t>objectif études</t>
  </si>
  <si>
    <t>provisions</t>
  </si>
  <si>
    <t>Projet sans responsable</t>
  </si>
  <si>
    <t>permission insuffisante</t>
  </si>
  <si>
    <t>Échéance projet</t>
  </si>
  <si>
    <t>Valider</t>
  </si>
  <si>
    <t>Ajuster budget</t>
  </si>
  <si>
    <t>risques</t>
  </si>
  <si>
    <t>résumé exportable</t>
  </si>
  <si>
    <t>Donnée commune manquante</t>
  </si>
  <si>
    <t>Rappel mensuel/trimestriel au choix</t>
  </si>
  <si>
    <t>Activer mon parcours</t>
  </si>
  <si>
    <t>Plus tard</t>
  </si>
  <si>
    <t>Importer fiche de paie</t>
  </si>
  <si>
    <t>Nouveau parcours + checklist premier salaire</t>
  </si>
  <si>
    <t>Revenu non confirmé</t>
  </si>
  <si>
    <t>Félicitations sobre + checklist</t>
  </si>
  <si>
    <t>Décoder salaire</t>
  </si>
  <si>
    <t>Alimenter réserve</t>
  </si>
  <si>
    <t>dette/revenu</t>
  </si>
  <si>
    <t>patrimoine net</t>
  </si>
  <si>
    <t>action</t>
  </si>
  <si>
    <t>Non calculable =&gt; demander champs ciblés</t>
  </si>
  <si>
    <t>Salaire reçu</t>
  </si>
  <si>
    <t>réserve sous cible</t>
  </si>
  <si>
    <t>Appliquer au budget</t>
  </si>
  <si>
    <t>Répartition + reste non affecté</t>
  </si>
  <si>
    <t>Somme &gt; revenu signalée</t>
  </si>
  <si>
    <t>Rappel de répartition si opt-in</t>
  </si>
  <si>
    <t>Ajuster</t>
  </si>
  <si>
    <t>Enregistrer comme plan</t>
  </si>
  <si>
    <t>Créer une enveloppe</t>
  </si>
  <si>
    <t>répartition du revenu</t>
  </si>
  <si>
    <t>épargne</t>
  </si>
  <si>
    <t>couverture des charges</t>
  </si>
  <si>
    <t>Affectations &gt; revenu</t>
  </si>
  <si>
    <t>Rappel mensuel facultatif du plan</t>
  </si>
  <si>
    <t>actifs</t>
  </si>
  <si>
    <t>passifs</t>
  </si>
  <si>
    <t>concentration</t>
  </si>
  <si>
    <t>Devise manquante</t>
  </si>
  <si>
    <t>valeur négative</t>
  </si>
  <si>
    <t>doublon</t>
  </si>
  <si>
    <t>Donnée &gt;90 jours</t>
  </si>
  <si>
    <t>forte concentration</t>
  </si>
  <si>
    <t>Compléter dossier</t>
  </si>
  <si>
    <t>indice de préparation</t>
  </si>
  <si>
    <t>points forts/faibles</t>
  </si>
  <si>
    <t>documents manquants</t>
  </si>
  <si>
    <t>actions</t>
  </si>
  <si>
    <t>Données insuffisantes</t>
  </si>
  <si>
    <t>consentement export absent</t>
  </si>
  <si>
    <t>Dossier passe 60/80 %</t>
  </si>
  <si>
    <t>pièce manquante</t>
  </si>
  <si>
    <t>mensualité/coût</t>
  </si>
  <si>
    <t>frais</t>
  </si>
  <si>
    <t>impact de trésorerie</t>
  </si>
  <si>
    <t>paramètres incomplets</t>
  </si>
  <si>
    <t>Mise à jour d’une offre sauvegardée</t>
  </si>
  <si>
    <t>Je n’ai pas de revenu</t>
  </si>
  <si>
    <t>Choisir un objectif</t>
  </si>
  <si>
    <t>Profil pédagogique + premier défi</t>
  </si>
  <si>
    <t>Âge incompatible avec profil</t>
  </si>
  <si>
    <t>Défi de bienvenue</t>
  </si>
  <si>
    <t>Commencer défi</t>
  </si>
  <si>
    <t>Voir objectif</t>
  </si>
  <si>
    <t>Disponible</t>
  </si>
  <si>
    <t>dépensé semaine</t>
  </si>
  <si>
    <t>économisé</t>
  </si>
  <si>
    <t>Indice de connaissances financières</t>
  </si>
  <si>
    <t>mission</t>
  </si>
  <si>
    <t>Donnée manquante =&gt; bascule pédagogique</t>
  </si>
  <si>
    <t>Mission/jalon uniquement</t>
  </si>
  <si>
    <t>Commencer</t>
  </si>
  <si>
    <t>Choisir</t>
  </si>
  <si>
    <t>Rejouer</t>
  </si>
  <si>
    <t>Résultat cash/épargne/résilience pédagogique + feedback</t>
  </si>
  <si>
    <t>Mission indisponible</t>
  </si>
  <si>
    <t>Badge pédagogique</t>
  </si>
  <si>
    <t>Comparer deux villes</t>
  </si>
  <si>
    <t>Passer au parcours Étudiant</t>
  </si>
  <si>
    <t>budget étudiant estimé</t>
  </si>
  <si>
    <t>besoin complémentaire</t>
  </si>
  <si>
    <t>coût mensuel</t>
  </si>
  <si>
    <t>principaux postes</t>
  </si>
  <si>
    <t>Montants &lt;=0 non pertinents</t>
  </si>
  <si>
    <t>période manquante</t>
  </si>
  <si>
    <t>Rappel facultatif avant rentrée / changement de parcours</t>
  </si>
  <si>
    <t>Tester un autre salaire</t>
  </si>
  <si>
    <t>Modifier logement</t>
  </si>
  <si>
    <t>Voir Comprendre ma fiche de paie</t>
  </si>
  <si>
    <t>budget après embauche</t>
  </si>
  <si>
    <t>reste disponible</t>
  </si>
  <si>
    <t>capacité d’épargne</t>
  </si>
  <si>
    <t>principaux arbitrages</t>
  </si>
  <si>
    <t>données essentielles absentes</t>
  </si>
  <si>
    <t>Aucune notification par défaut</t>
  </si>
  <si>
    <t>Commencer quiz</t>
  </si>
  <si>
    <t>Revoir une notion</t>
  </si>
  <si>
    <t>Continuer mon parcours</t>
  </si>
  <si>
    <t>réponses expliquées</t>
  </si>
  <si>
    <t>compétences acquises</t>
  </si>
  <si>
    <t>modules à revoir</t>
  </si>
  <si>
    <t>Quiz incomplet</t>
  </si>
  <si>
    <t>contenu indisponible</t>
  </si>
  <si>
    <t>Badge ou niveau débloqué selon progression</t>
  </si>
  <si>
    <t>Voir progression</t>
  </si>
  <si>
    <t>Continuer un module</t>
  </si>
  <si>
    <t>Exporter attestation pédagogique</t>
  </si>
  <si>
    <t>étapes suivantes</t>
  </si>
  <si>
    <t>Progression insuffisante pour certains badges</t>
  </si>
  <si>
    <t>Niveau débloqué</t>
  </si>
  <si>
    <t>Créer espace</t>
  </si>
  <si>
    <t>Rejoindre</t>
  </si>
  <si>
    <t>Quitter selon droits</t>
  </si>
  <si>
    <t>Liste espaces + solde personnel + prochaines échéances</t>
  </si>
  <si>
    <t>Invitation expirée</t>
  </si>
  <si>
    <t>membre déjà présent</t>
  </si>
  <si>
    <t>action non autorisée</t>
  </si>
  <si>
    <t>membre rejoint/quitte</t>
  </si>
  <si>
    <t>règlement confirmé</t>
  </si>
  <si>
    <t>Exclure membre</t>
  </si>
  <si>
    <t>Marquer remboursé</t>
  </si>
  <si>
    <t>Quote-part par membre</t>
  </si>
  <si>
    <t>nouveaux soldes</t>
  </si>
  <si>
    <t>Parts ≠ montant</t>
  </si>
  <si>
    <t>payeur absent</t>
  </si>
  <si>
    <t>devise incompatible</t>
  </si>
  <si>
    <t>Dépense ajoutée</t>
  </si>
  <si>
    <t>membre doit rembourser</t>
  </si>
  <si>
    <t>dépassement budget partagé</t>
  </si>
  <si>
    <t>Copier montant</t>
  </si>
  <si>
    <t>Recalculer</t>
  </si>
  <si>
    <t>Liste de transferts minimisant le nombre de règlements si optimisation activée</t>
  </si>
  <si>
    <t>Règlement &gt; solde</t>
  </si>
  <si>
    <t>duplication paiement</t>
  </si>
  <si>
    <t>Règlement déclaré/confirmé</t>
  </si>
  <si>
    <t>Tout garder privé</t>
  </si>
  <si>
    <t>Partager seulement totaux</t>
  </si>
  <si>
    <t>Révoquer</t>
  </si>
  <si>
    <t>Matrice de permissions</t>
  </si>
  <si>
    <t>Tentative d’accès non autorisé =&gt; écran neutre</t>
  </si>
  <si>
    <t>Notification lors d’un changement de partage</t>
  </si>
  <si>
    <t>Régler soldes</t>
  </si>
  <si>
    <t>KPI communs + individuels autorisés</t>
  </si>
  <si>
    <t>Données membres insuffisantes =&gt; afficher partiel</t>
  </si>
  <si>
    <t>Budget commun</t>
  </si>
  <si>
    <t>règlement</t>
  </si>
  <si>
    <t>Premiers KPI + score partiel si conditions</t>
  </si>
  <si>
    <t>Données incohérentes confirmables</t>
  </si>
  <si>
    <t>Rappel compléter profil</t>
  </si>
  <si>
    <t>Voir pourquoi</t>
  </si>
  <si>
    <t>Améliorer</t>
  </si>
  <si>
    <t>Santé financière</t>
  </si>
  <si>
    <t>action prioritaire</t>
  </si>
  <si>
    <t>Donnée ancienne =&gt; bannière qualité</t>
  </si>
  <si>
    <t>Variation score significative, objectif, budget, échéance</t>
  </si>
  <si>
    <t>Valider plan</t>
  </si>
  <si>
    <t>Copier mois précédent</t>
  </si>
  <si>
    <t>Ajouter événement</t>
  </si>
  <si>
    <t>Cash projeté</t>
  </si>
  <si>
    <t>marge</t>
  </si>
  <si>
    <t>risques de tension</t>
  </si>
  <si>
    <t>allocation objectif</t>
  </si>
  <si>
    <t>Montants dupliqués détectés</t>
  </si>
  <si>
    <t>J-3 avant mois</t>
  </si>
  <si>
    <t>risque de solde négatif</t>
  </si>
  <si>
    <t>Confirmer récurrence</t>
  </si>
  <si>
    <t>Ignorer</t>
  </si>
  <si>
    <t>Ajouter au calendrier</t>
  </si>
  <si>
    <t>liste récurrences</t>
  </si>
  <si>
    <t>coût mensuel/annuel</t>
  </si>
  <si>
    <t>Récurrence incertaine</t>
  </si>
  <si>
    <t>montant variable</t>
  </si>
  <si>
    <t>Échéance imminente</t>
  </si>
  <si>
    <t>hausse significative</t>
  </si>
  <si>
    <t>Compléter</t>
  </si>
  <si>
    <t>Exporter dossier</t>
  </si>
  <si>
    <t>niveau de préparation</t>
  </si>
  <si>
    <t>éléments manquants</t>
  </si>
  <si>
    <t>impacts budgétaires</t>
  </si>
  <si>
    <t>checklist</t>
  </si>
  <si>
    <t>Donnée trop ancienne</t>
  </si>
  <si>
    <t>Dossier complété</t>
  </si>
  <si>
    <t>source mise à jour</t>
  </si>
  <si>
    <t>Référentiel complet des tableaux de bord</t>
  </si>
  <si>
    <t>Les tableaux de bord consomment les résultats des moteurs versionnés ; ils ne recalculent pas localement les KPI.</t>
  </si>
  <si>
    <t>Tableau de bord</t>
  </si>
  <si>
    <t>Indicateurs / formules</t>
  </si>
  <si>
    <t>Règles spécifiques</t>
  </si>
  <si>
    <t>Ma semaine financière</t>
  </si>
  <si>
    <t>Disponible [F004] ; épargne [F007] ; taux d’économie [F008] ; progression objectif [F025] ; indice de connaissances [F052]</t>
  </si>
  <si>
    <t>1 alerte + 1 mission maximum</t>
  </si>
  <si>
    <t>Ressources [F002] ; reste à vivre [F006] ; budget/jour [F012] ; autonomie [F047] ; réserve [F014] ; objectif [F025]</t>
  </si>
  <si>
    <t>Prioriser dépenses d’études imminentes</t>
  </si>
  <si>
    <t>Premier revenu</t>
  </si>
  <si>
    <t>Revenu net [F002] ; reste à vivre [F006] ; taux d’épargne [F008] ; réserve [F014] ; effort dette [F018] ; patrimoine net [F035]</t>
  </si>
  <si>
    <t>3 actions max ; préparation financement si activée</t>
  </si>
  <si>
    <t>Santé financière personnelle</t>
  </si>
  <si>
    <t>Flux net [F004] ; reste à vivre [F006] ; taux d’épargne [F008] ; réserve [F014] ; effort dette [F018] ; patrimoine net [F035] ; indice santé [F053]</t>
  </si>
  <si>
    <t>Sous-scores explicables ; séparé du crédit</t>
  </si>
  <si>
    <t>Budget commun restant [F009] ; dépenses partagées ; solde membre [F043] ; échéances ; objectif commun [F025]</t>
  </si>
  <si>
    <t>Aucune donnée privée non partagée</t>
  </si>
  <si>
    <t>Revenus communs [F002] ; dépenses communes [F003] ; reste commun [F006] ; épargne [F007] ; contribution [F044] ; objectif [F025]</t>
  </si>
  <si>
    <t>Séparer Moi / Nous</t>
  </si>
  <si>
    <t>Finances du foyer</t>
  </si>
  <si>
    <t>Revenus foyer ; dépenses foyer ; reste [F006] ; réserve [F014] ; dettes [F018] ; provisions [F045] ; objectifs</t>
  </si>
  <si>
    <t>Données enfant minimales seulement</t>
  </si>
  <si>
    <t>Parcours d’épargne</t>
  </si>
  <si>
    <t>Capacité [F046] ; taux [F008] ; réserve [F014] ; objectif [F025] ; valeur future [F031] ; valeur réelle [F033]</t>
  </si>
  <si>
    <t>Toujours montrer hypothèses et simulation</t>
  </si>
  <si>
    <t>Catalogue des calculateurs et simulateurs</t>
  </si>
  <si>
    <t>Catalogue fonctionnel complet : entrées, sorties, formules/algorithmes et publics concernés.</t>
  </si>
  <si>
    <t>Calculateur / simulateur</t>
  </si>
  <si>
    <t>Entrées</t>
  </si>
  <si>
    <t>Formules / algorithmes</t>
  </si>
  <si>
    <t>Publics</t>
  </si>
  <si>
    <t>CAL-01</t>
  </si>
  <si>
    <t>Budget mensuel</t>
  </si>
  <si>
    <t>Revenus prévus, dépenses fixes/variables, dettes, épargne planifiée</t>
  </si>
  <si>
    <t>Solde, reste à affecter, catégories, déficit éventuel</t>
  </si>
  <si>
    <t>F002-F010</t>
  </si>
  <si>
    <t>Tous</t>
  </si>
  <si>
    <t>CAL-02</t>
  </si>
  <si>
    <t>Budget jusqu’à fin de mois</t>
  </si>
  <si>
    <t>Solde actuel, jours restants, factures restantes, dépenses prévues</t>
  </si>
  <si>
    <t>Disponible réel, budget/jour, date de tension, solde prévisionnel</t>
  </si>
  <si>
    <t>F012-F013</t>
  </si>
  <si>
    <t>Étudiant, jeune actif, salarié</t>
  </si>
  <si>
    <t>CAL-03</t>
  </si>
  <si>
    <t>Enveloppe budgétaire</t>
  </si>
  <si>
    <t>Budget catégorie, consommé, engagé, jours écoulés</t>
  </si>
  <si>
    <t>Reste, taux consommé, projection fin période</t>
  </si>
  <si>
    <t>F009-F011</t>
  </si>
  <si>
    <t>CAL-04</t>
  </si>
  <si>
    <t>Revenus, dépenses, mensualités, marge optionnelle</t>
  </si>
  <si>
    <t>Capacité mensuelle, annuelle et taux</t>
  </si>
  <si>
    <t>F004,F006-F008,F046</t>
  </si>
  <si>
    <t>Étudiant+</t>
  </si>
  <si>
    <t>CAL-05</t>
  </si>
  <si>
    <t>Épargne liquide, dépenses essentielles, cible mois</t>
  </si>
  <si>
    <t>Mois couverts, montant cible, manque, date estimée</t>
  </si>
  <si>
    <t>F014-F016</t>
  </si>
  <si>
    <t>CAL-06</t>
  </si>
  <si>
    <t>Objectif sans rendement</t>
  </si>
  <si>
    <t>Cible, capital actuel, date, contribution</t>
  </si>
  <si>
    <t>Mois, contribution nécessaire, date cible</t>
  </si>
  <si>
    <t>F025-F028</t>
  </si>
  <si>
    <t>CAL-07</t>
  </si>
  <si>
    <t>Objectif avec rendement</t>
  </si>
  <si>
    <t>Capital, contribution, rendement hypothétique, horizon</t>
  </si>
  <si>
    <t>Valeur future, manque/excédent, contribution requise</t>
  </si>
  <si>
    <t>F029-F032</t>
  </si>
  <si>
    <t>Étudiant avancé+</t>
  </si>
  <si>
    <t>CAL-08</t>
  </si>
  <si>
    <t>Inflation / pouvoir d’achat</t>
  </si>
  <si>
    <t>Valeur nominale, inflation, horizon</t>
  </si>
  <si>
    <t>Valeur réelle, perte de pouvoir d’achat</t>
  </si>
  <si>
    <t>F033-F034</t>
  </si>
  <si>
    <t>Tous pédagogiquement</t>
  </si>
  <si>
    <t>CAL-09</t>
  </si>
  <si>
    <t>Taux d’effort dette</t>
  </si>
  <si>
    <t>Mensualités, revenus nets</t>
  </si>
  <si>
    <t>Taux d’effort, variation avant/après nouvelle dette</t>
  </si>
  <si>
    <t>F017-F019</t>
  </si>
  <si>
    <t>Jeune actif+</t>
  </si>
  <si>
    <t>CAL-10</t>
  </si>
  <si>
    <t>Mensualité de financement</t>
  </si>
  <si>
    <t>Capital, taux, durée, apport, frais, assurance</t>
  </si>
  <si>
    <t>Mensualité, coût total, impact reste à vivre</t>
  </si>
  <si>
    <t>F020-F023,F056</t>
  </si>
  <si>
    <t>CAL-11</t>
  </si>
  <si>
    <t>Remboursement anticipé</t>
  </si>
  <si>
    <t>Dette, taux, durée restante, versement supplémentaire, frais</t>
  </si>
  <si>
    <t>Nouvelle date, intérêts économisés estimés</t>
  </si>
  <si>
    <t>F024</t>
  </si>
  <si>
    <t>CAL-12</t>
  </si>
  <si>
    <t>Stratégies de dettes</t>
  </si>
  <si>
    <t>Liste dettes, soldes, taux, mensualités, budget supplémentaire</t>
  </si>
  <si>
    <t>Ordre dette coûteuse/petite dette, durée/coût comparés</t>
  </si>
  <si>
    <t>ALG-01</t>
  </si>
  <si>
    <t>CAL-13</t>
  </si>
  <si>
    <t>Actifs réels, dettes, devises, valorisations</t>
  </si>
  <si>
    <t>Actifs, passifs, patrimoine net, allocation</t>
  </si>
  <si>
    <t>F035-F037</t>
  </si>
  <si>
    <t>CAL-14</t>
  </si>
  <si>
    <t>Positions fictives, quantités, prix, frais</t>
  </si>
  <si>
    <t>Valeur, gain/perte, rendement, allocation</t>
  </si>
  <si>
    <t>F038-F040</t>
  </si>
  <si>
    <t>CAL-15</t>
  </si>
  <si>
    <t>Autonomie financière étudiant</t>
  </si>
  <si>
    <t>Revenus propres, dépenses totales</t>
  </si>
  <si>
    <t>Taux d’autonomie, besoin complémentaire</t>
  </si>
  <si>
    <t>F047</t>
  </si>
  <si>
    <t>CAL-16</t>
  </si>
  <si>
    <t>Provision études / annuelle</t>
  </si>
  <si>
    <t>Montant, date, déjà provisionné</t>
  </si>
  <si>
    <t>Provision mensuelle, manque, échéancier</t>
  </si>
  <si>
    <t>F045</t>
  </si>
  <si>
    <t>Étudiant, famille</t>
  </si>
  <si>
    <t>CAL-17</t>
  </si>
  <si>
    <t>Premier salaire</t>
  </si>
  <si>
    <t>Salaire cible/net, logement, transport, alimentation, objectifs</t>
  </si>
  <si>
    <t>Budget futur, reste, épargne potentielle</t>
  </si>
  <si>
    <t>F004-F008</t>
  </si>
  <si>
    <t>Lycéen, étudiant</t>
  </si>
  <si>
    <t>CAL-18</t>
  </si>
  <si>
    <t>Comparateur offres d’emploi</t>
  </si>
  <si>
    <t>Net, primes, avantages, transport, repas, trajet, autres coûts</t>
  </si>
  <si>
    <t>Net économique et comparaison</t>
  </si>
  <si>
    <t>F048</t>
  </si>
  <si>
    <t>CAL-19</t>
  </si>
  <si>
    <t>Abonnements / récurrences</t>
  </si>
  <si>
    <t>Montant, périodicité, prochaine échéance</t>
  </si>
  <si>
    <t>Coût mensuel/annuel, poids budget</t>
  </si>
  <si>
    <t>F049</t>
  </si>
  <si>
    <t>CAL-20</t>
  </si>
  <si>
    <t>Montant, payeur, participants, règle</t>
  </si>
  <si>
    <t>Quote-part, nouveaux soldes</t>
  </si>
  <si>
    <t>F041-F043</t>
  </si>
  <si>
    <t>Colocation, couple, famille</t>
  </si>
  <si>
    <t>CAL-21</t>
  </si>
  <si>
    <t>Règlements simplifiés</t>
  </si>
  <si>
    <t>Soldes nets membres</t>
  </si>
  <si>
    <t>Liste minimale de transferts</t>
  </si>
  <si>
    <t>ALG-02</t>
  </si>
  <si>
    <t>Colocation</t>
  </si>
  <si>
    <t>CAL-22</t>
  </si>
  <si>
    <t>Contribution foyer</t>
  </si>
  <si>
    <t>Dépenses communes, revenus membres, règle</t>
  </si>
  <si>
    <t>Contribution de chacun</t>
  </si>
  <si>
    <t>F044</t>
  </si>
  <si>
    <t>Couple, famille</t>
  </si>
  <si>
    <t>CAL-23</t>
  </si>
  <si>
    <t>Stress test foyer</t>
  </si>
  <si>
    <t>Revenus, dépenses essentielles, réserve, choc</t>
  </si>
  <si>
    <t>Nouveau flux, déficit, mois de couverture, objectifs touchés</t>
  </si>
  <si>
    <t>F004,F014,F050</t>
  </si>
  <si>
    <t>CAL-24</t>
  </si>
  <si>
    <t>Revenus, stabilité, dettes, apport, réserve, pièces</t>
  </si>
  <si>
    <t>Indice de préparation, points manquants</t>
  </si>
  <si>
    <t>F051</t>
  </si>
  <si>
    <t>Jeune actif, salarié</t>
  </si>
  <si>
    <t>CAL-25</t>
  </si>
  <si>
    <t>Comparateur de financements</t>
  </si>
  <si>
    <t>Options, durée, coût, frais, apport, critères</t>
  </si>
  <si>
    <t>Tableau comparatif, score explicable optionnel</t>
  </si>
  <si>
    <t>F054-F056</t>
  </si>
  <si>
    <t>CAL-26</t>
  </si>
  <si>
    <t>Horizon, liquidité, réactions hypothétiques, connaissance</t>
  </si>
  <si>
    <t>Catégorie pédagogique + dimensions</t>
  </si>
  <si>
    <t>F057</t>
  </si>
  <si>
    <t>CAL-27</t>
  </si>
  <si>
    <t>Quiz, exercices, progression</t>
  </si>
  <si>
    <t>Score et dimensions pédagogiques</t>
  </si>
  <si>
    <t>F052</t>
  </si>
  <si>
    <t>CAL-28</t>
  </si>
  <si>
    <t>Indice de santé financière</t>
  </si>
  <si>
    <t>Sous-indicateurs disponibles et poids versionnés</t>
  </si>
  <si>
    <t>Indice global + composantes</t>
  </si>
  <si>
    <t>F053</t>
  </si>
  <si>
    <t>Salarié / adulte</t>
  </si>
  <si>
    <t>CAL-29</t>
  </si>
  <si>
    <t>Projection retraite indicative</t>
  </si>
  <si>
    <t>Capital actuel, versement, horizon, rendement/inflation</t>
  </si>
  <si>
    <t>Capital nominal/réel projeté</t>
  </si>
  <si>
    <t>F031,F033</t>
  </si>
  <si>
    <t>Salarié, famille</t>
  </si>
  <si>
    <t>CAL-30</t>
  </si>
  <si>
    <t>Simulation logement / immobilier</t>
  </si>
  <si>
    <t>Prix, apport, capital financé, taux, durée, frais</t>
  </si>
  <si>
    <t>Mensualité, coût, reste à vivre, réserve après apport</t>
  </si>
  <si>
    <t>F021-F023,F056</t>
  </si>
  <si>
    <t>Jeune actif, salarié, couple/famille</t>
  </si>
  <si>
    <t>Catalogue des formules et règles de calcul</t>
  </si>
  <si>
    <t>Formules canoniques versionnées. Les taux sont calculés en décimal et affichés en pourcentage ; division par zéro = non calculable.</t>
  </si>
  <si>
    <t>Formule / règle</t>
  </si>
  <si>
    <t>Conditions</t>
  </si>
  <si>
    <t>F001</t>
  </si>
  <si>
    <t>Normalisation mensuelle</t>
  </si>
  <si>
    <t>montant_mensuel = montant × facteur_fréquence</t>
  </si>
  <si>
    <t>hebdo 52/12 ; trimestriel 1/3 ; semestriel 1/6 ; annuel 1/12</t>
  </si>
  <si>
    <t>F002</t>
  </si>
  <si>
    <t>Total revenus</t>
  </si>
  <si>
    <t>Σ revenus normalisés admissibles</t>
  </si>
  <si>
    <t>Même période et devise</t>
  </si>
  <si>
    <t>F003</t>
  </si>
  <si>
    <t>Total dépenses</t>
  </si>
  <si>
    <t>Σ dépenses admissibles</t>
  </si>
  <si>
    <t>F004</t>
  </si>
  <si>
    <t>Flux net</t>
  </si>
  <si>
    <t>revenus - dépenses</t>
  </si>
  <si>
    <t>Dépenses réalisées de la période</t>
  </si>
  <si>
    <t>F005</t>
  </si>
  <si>
    <t>Charges obligatoires</t>
  </si>
  <si>
    <t>Σ charges fixes + échéances obligatoires</t>
  </si>
  <si>
    <t>Catégories versionnées</t>
  </si>
  <si>
    <t>F006</t>
  </si>
  <si>
    <t>Reste à vivre</t>
  </si>
  <si>
    <t>revenus nets - charges fixes - mensualités obligatoires</t>
  </si>
  <si>
    <t>Ne pas confondre avec flux net</t>
  </si>
  <si>
    <t>F007</t>
  </si>
  <si>
    <t>Épargne nette</t>
  </si>
  <si>
    <t>entrées affectées à l’épargne - retraits d’épargne</t>
  </si>
  <si>
    <t>Affectation explicite</t>
  </si>
  <si>
    <t>F008</t>
  </si>
  <si>
    <t>Taux d’épargne</t>
  </si>
  <si>
    <t>épargne nette / revenus nets × 100</t>
  </si>
  <si>
    <t>Si revenus &gt; 0</t>
  </si>
  <si>
    <t>F009</t>
  </si>
  <si>
    <t>Budget restant</t>
  </si>
  <si>
    <t>budget prévu - dépenses réelles</t>
  </si>
  <si>
    <t>Par catégorie/période</t>
  </si>
  <si>
    <t>F010</t>
  </si>
  <si>
    <t>Taux consommation enveloppe</t>
  </si>
  <si>
    <t>dépenses réelles / budget × 100</t>
  </si>
  <si>
    <t>Si budget &gt; 0</t>
  </si>
  <si>
    <t>F011</t>
  </si>
  <si>
    <t>Projection enveloppe</t>
  </si>
  <si>
    <t>consommé / jours écoulés × jours période</t>
  </si>
  <si>
    <t>Projection seulement</t>
  </si>
  <si>
    <t>F012</t>
  </si>
  <si>
    <t>Budget journalier disponible</t>
  </si>
  <si>
    <t>(solde - obligations restantes) / jours restants</t>
  </si>
  <si>
    <t>Si jours restants &gt; 0</t>
  </si>
  <si>
    <t>F013</t>
  </si>
  <si>
    <t>Couverture en jours</t>
  </si>
  <si>
    <t>disponible réel / dépense journalière de référence</t>
  </si>
  <si>
    <t>Référence configurable</t>
  </si>
  <si>
    <t>F014</t>
  </si>
  <si>
    <t>Réserve en mois</t>
  </si>
  <si>
    <t>épargne liquide / dépenses essentielles mensuelles</t>
  </si>
  <si>
    <t>Exclure fictif/illiquide</t>
  </si>
  <si>
    <t>F015</t>
  </si>
  <si>
    <t>Montant cible réserve</t>
  </si>
  <si>
    <t>cible_mois × dépenses essentielles</t>
  </si>
  <si>
    <t>Cible utilisateur/règle</t>
  </si>
  <si>
    <t>F016</t>
  </si>
  <si>
    <t>Manque de réserve</t>
  </si>
  <si>
    <t>max(0, montant cible - épargne liquide)</t>
  </si>
  <si>
    <t>—</t>
  </si>
  <si>
    <t>F017</t>
  </si>
  <si>
    <t>Service mensuel dette</t>
  </si>
  <si>
    <t>Σ mensualités obligatoires</t>
  </si>
  <si>
    <t>Dettes actives</t>
  </si>
  <si>
    <t>F018</t>
  </si>
  <si>
    <t>mensualités obligatoires / revenus nets × 100</t>
  </si>
  <si>
    <t>Indicateur pédagogique</t>
  </si>
  <si>
    <t>F019</t>
  </si>
  <si>
    <t>Dette / revenu annuel</t>
  </si>
  <si>
    <t>capital restant total / revenus annuels × 100</t>
  </si>
  <si>
    <t>Optionnel</t>
  </si>
  <si>
    <t>F020</t>
  </si>
  <si>
    <t>Taux périodique crédit</t>
  </si>
  <si>
    <t>r = taux_annuel / périodes_par_an</t>
  </si>
  <si>
    <t>Convention précisée</t>
  </si>
  <si>
    <t>F021</t>
  </si>
  <si>
    <t>Mensualité annuité</t>
  </si>
  <si>
    <t>M = P×r / (1-(1+r)^(-n))</t>
  </si>
  <si>
    <t>Si r=0 : M=P/n</t>
  </si>
  <si>
    <t>F022</t>
  </si>
  <si>
    <t>Total paiements crédit</t>
  </si>
  <si>
    <t>M×n + frais + assurance</t>
  </si>
  <si>
    <t>Selon données disponibles</t>
  </si>
  <si>
    <t>F023</t>
  </si>
  <si>
    <t>Coût total financement</t>
  </si>
  <si>
    <t>total paiements - capital financé</t>
  </si>
  <si>
    <t>Séparer frais/assurance</t>
  </si>
  <si>
    <t>recalcul échéancier ; économie = coût_base - coût_scenario</t>
  </si>
  <si>
    <t>Frais si renseignés</t>
  </si>
  <si>
    <t>F025</t>
  </si>
  <si>
    <t>Progression objectif</t>
  </si>
  <si>
    <t>capital affecté / montant cible × 100</t>
  </si>
  <si>
    <t>Affichage plafonné 100 %</t>
  </si>
  <si>
    <t>F026</t>
  </si>
  <si>
    <t>Reste objectif</t>
  </si>
  <si>
    <t>max(0, cible - capital affecté)</t>
  </si>
  <si>
    <t>F027</t>
  </si>
  <si>
    <t>Mois nécessaires sans rendement</t>
  </si>
  <si>
    <t>ceil((cible-capital)/contribution)</t>
  </si>
  <si>
    <t>Si contribution &gt; 0</t>
  </si>
  <si>
    <t>F028</t>
  </si>
  <si>
    <t>Versement mensuel sans rendement</t>
  </si>
  <si>
    <t>(cible - capital) / mois restants</t>
  </si>
  <si>
    <t>Si mois restants &gt; 0</t>
  </si>
  <si>
    <t>F029</t>
  </si>
  <si>
    <t>Valeur future capital initial</t>
  </si>
  <si>
    <t>C0×(1+r)^n</t>
  </si>
  <si>
    <t>r périodique</t>
  </si>
  <si>
    <t>F030</t>
  </si>
  <si>
    <t>Valeur future versements</t>
  </si>
  <si>
    <t>V×((1+r)^n-1)/r</t>
  </si>
  <si>
    <t>Fin de période ; si r=0 : V×n</t>
  </si>
  <si>
    <t>F031</t>
  </si>
  <si>
    <t>Valeur future totale</t>
  </si>
  <si>
    <t>F029 + F030</t>
  </si>
  <si>
    <t>Hypothèses visibles</t>
  </si>
  <si>
    <t>F032</t>
  </si>
  <si>
    <t>Versement requis avec rendement</t>
  </si>
  <si>
    <t>V=(cible-C0(1+r)^n)×r / ((1+r)^n-1)</t>
  </si>
  <si>
    <t>Si r=0 utiliser F028</t>
  </si>
  <si>
    <t>F033</t>
  </si>
  <si>
    <t>Valeur réelle</t>
  </si>
  <si>
    <t>valeur nominale / (1+inflation)^années</t>
  </si>
  <si>
    <t>Inflation/horizon explicites</t>
  </si>
  <si>
    <t>F034</t>
  </si>
  <si>
    <t>Rendement réel</t>
  </si>
  <si>
    <t>(1+rendement_nominal)/(1+inflation)-1</t>
  </si>
  <si>
    <t>F035</t>
  </si>
  <si>
    <t>Σ actifs réels - Σ dettes réelles</t>
  </si>
  <si>
    <t>Valorisations datées</t>
  </si>
  <si>
    <t>F036</t>
  </si>
  <si>
    <t>Allocation actif</t>
  </si>
  <si>
    <t>valeur actif / total actifs × 100</t>
  </si>
  <si>
    <t>Si total &gt; 0</t>
  </si>
  <si>
    <t>F037</t>
  </si>
  <si>
    <t>Concentration maximale</t>
  </si>
  <si>
    <t>max(allocation par actif ou classe)</t>
  </si>
  <si>
    <t>Pédagogique</t>
  </si>
  <si>
    <t>F038</t>
  </si>
  <si>
    <t>Valeur portefeuille fictif</t>
  </si>
  <si>
    <t>Σ quantité × prix simulé</t>
  </si>
  <si>
    <t>Badge simulation</t>
  </si>
  <si>
    <t>F039</t>
  </si>
  <si>
    <t>Gain/perte fictif</t>
  </si>
  <si>
    <t>valeur actuelle fictive - coût fictif</t>
  </si>
  <si>
    <t>Inclure frais fictifs</t>
  </si>
  <si>
    <t>F040</t>
  </si>
  <si>
    <t>Rendement fictif</t>
  </si>
  <si>
    <t>gain/perte / coût fictif × 100</t>
  </si>
  <si>
    <t>Si coût &gt; 0</t>
  </si>
  <si>
    <t>F041</t>
  </si>
  <si>
    <t>Part égale</t>
  </si>
  <si>
    <t>montant / nombre participants</t>
  </si>
  <si>
    <t>Arrondi documenté</t>
  </si>
  <si>
    <t>F042</t>
  </si>
  <si>
    <t>Part proportionnelle revenus</t>
  </si>
  <si>
    <t>montant × revenu_i / Σ revenus</t>
  </si>
  <si>
    <t>Avec consentement</t>
  </si>
  <si>
    <t>F043</t>
  </si>
  <si>
    <t>Solde membre partagé</t>
  </si>
  <si>
    <t>payé pour groupe - quote-part due - règlements reçus + règlements versés</t>
  </si>
  <si>
    <t>Positif = à recevoir</t>
  </si>
  <si>
    <t>Contribution foyer proportionnelle</t>
  </si>
  <si>
    <t>dépenses communes × revenu_i / revenu total</t>
  </si>
  <si>
    <t>Mode facultatif</t>
  </si>
  <si>
    <t>Provision mensuelle</t>
  </si>
  <si>
    <t>(montant prévu - déjà provisionné) / mois restants</t>
  </si>
  <si>
    <t>F046</t>
  </si>
  <si>
    <t>revenus - dépenses - mensualités - marge réservée éventuelle</t>
  </si>
  <si>
    <t>Marge explicite</t>
  </si>
  <si>
    <t>revenus personnels / dépenses totales × 100</t>
  </si>
  <si>
    <t>Définition revenus personnels versionnée</t>
  </si>
  <si>
    <t>Net économique offre emploi</t>
  </si>
  <si>
    <t>net + avantages monétisables - coûts liés à l’emploi</t>
  </si>
  <si>
    <t>Coût récurrent normalisé</t>
  </si>
  <si>
    <t>montant × fréquence annuelle / 12</t>
  </si>
  <si>
    <t>Mensuel et annuel</t>
  </si>
  <si>
    <t>F050</t>
  </si>
  <si>
    <t>Couverture déficit choc</t>
  </si>
  <si>
    <t>réserve liquide / déficit mensuel après choc</t>
  </si>
  <si>
    <t>Si déficit &gt; 0</t>
  </si>
  <si>
    <t>Indice préparation financement</t>
  </si>
  <si>
    <t>Σ(sous-score_i × poids_i) / Σ poids_i</t>
  </si>
  <si>
    <t>Poids configurables/visibles</t>
  </si>
  <si>
    <t>Indice connaissances financières</t>
  </si>
  <si>
    <t>Σ(dimension_i normalisée × poids_i) / Σ poids_i</t>
  </si>
  <si>
    <t>Dimensions/poids versionnés</t>
  </si>
  <si>
    <t>Indice santé financière</t>
  </si>
  <si>
    <t>Σ(sous-score_i normalisé × poids_i) / Σ poids disponibles</t>
  </si>
  <si>
    <t>Score partiel si besoin</t>
  </si>
  <si>
    <t>F054</t>
  </si>
  <si>
    <t>Score adéquation option</t>
  </si>
  <si>
    <t>Σ(correspondance_i × poids_i) / Σ poids_i</t>
  </si>
  <si>
    <t>Aucun classement opaque</t>
  </si>
  <si>
    <t>F055</t>
  </si>
  <si>
    <t>Âge donnée</t>
  </si>
  <si>
    <t>date_courante - date_effet ou date_collecte</t>
  </si>
  <si>
    <t>Seuil par type</t>
  </si>
  <si>
    <t>F056</t>
  </si>
  <si>
    <t>Impact nouvelle mensualité</t>
  </si>
  <si>
    <t>nouveau_RAV = RAV_actuel - mensualité ; nouvel_effort=(service_actuel+mensualité)/revenus</t>
  </si>
  <si>
    <t>Ne préjuge pas accord crédit</t>
  </si>
  <si>
    <t>Profil pédagogique risque</t>
  </si>
  <si>
    <t>Σ points réponses × poids puis catégorie par seuils versionnés</t>
  </si>
  <si>
    <t>Seuils non figés</t>
  </si>
  <si>
    <t>Algorithmes fonctionnels</t>
  </si>
  <si>
    <t>Algorithmes décrits lorsqu’une formule fermée ne suffit pas.</t>
  </si>
  <si>
    <t>Algorithme</t>
  </si>
  <si>
    <t>Règle</t>
  </si>
  <si>
    <t>Dette coûteuse / petite dette</t>
  </si>
  <si>
    <t>Simuler période par période. Priorité au coût le plus élevé ou au capital restant le plus faible ; réallouer la mensualité libérée.</t>
  </si>
  <si>
    <t>Minimisation des remboursements</t>
  </si>
  <si>
    <t>Calculer soldes nets, séparer créanciers/débiteurs, affecter successivement min(crédit,dette) jusqu’à extinction.</t>
  </si>
  <si>
    <t>ALG-03</t>
  </si>
  <si>
    <t>Date atteinte objectif</t>
  </si>
  <si>
    <t>Itérer mensuellement : capital suivant = capital×(1+r)+versement ; arrêter lorsque capital ≥ cible.</t>
  </si>
  <si>
    <t>ALG-04</t>
  </si>
  <si>
    <t>Détection récurrence</t>
  </si>
  <si>
    <t>Comparer commerçant/libellé, montant toléré et intervalle ; demander confirmation avant création.</t>
  </si>
  <si>
    <t>Moteurs de recherche et de découverte</t>
  </si>
  <si>
    <t>Tous les moteurs sont déterministes : index, synonymes, filtres, permissions et sources ; aucune génération libre.</t>
  </si>
  <si>
    <t>Moteur</t>
  </si>
  <si>
    <t>Index / sources</t>
  </si>
  <si>
    <t>Sorties / règles</t>
  </si>
  <si>
    <t>Écrans, actions, transactions, objectifs, contenus, offres autorisées</t>
  </si>
  <si>
    <t>Texte + profil + permissions</t>
  </si>
  <si>
    <t>Résultats groupés ; synonymes ; aucune génération libre.</t>
  </si>
  <si>
    <t>Recherche d’argent</t>
  </si>
  <si>
    <t>Transactions et événements autorisés</t>
  </si>
  <si>
    <t>Texte, montant, période, catégorie, espace</t>
  </si>
  <si>
    <t>Liste + agrégats ; cloisonnement strict.</t>
  </si>
  <si>
    <t>Recherche d’objectifs</t>
  </si>
  <si>
    <t>Modèles d’objectifs</t>
  </si>
  <si>
    <t>Texte, catégorie, horizon</t>
  </si>
  <si>
    <t>Modèles + objectif personnalisé.</t>
  </si>
  <si>
    <t>Recherche d’apprentissage</t>
  </si>
  <si>
    <t>Glossaire, guides, quiz, cours</t>
  </si>
  <si>
    <t>Terme, niveau, thème</t>
  </si>
  <si>
    <t>Contenu versionné et adapté.</t>
  </si>
  <si>
    <t>Recherche de solutions</t>
  </si>
  <si>
    <t>Référentiel daté des offres</t>
  </si>
  <si>
    <t>Besoin, critères, public, montant, horizon</t>
  </si>
  <si>
    <t>Filtres + compatibilité apparente ; source/fraîcheur obligatoires.</t>
  </si>
  <si>
    <t>Recherche de simulateur</t>
  </si>
  <si>
    <t>Catalogue calculateurs</t>
  </si>
  <si>
    <t>Question ou catégorie</t>
  </si>
  <si>
    <t>Correspondance par mots-clés et routage.</t>
  </si>
  <si>
    <t>Recherche aides / dispositifs</t>
  </si>
  <si>
    <t>Référentiel validé</t>
  </si>
  <si>
    <t>Profil, âge, statut, besoin</t>
  </si>
  <si>
    <t>Fiches sourcées ; aucune conclusion d’éligibilité non vérifiée.</t>
  </si>
  <si>
    <t>Assistance déterministe : intentions fermées, parcours à états, réponses pré-écrites et liens vers les écrans. Aucun calcul ni conseil génératif.</t>
  </si>
  <si>
    <t>Élément / intention</t>
  </si>
  <si>
    <t>Fonction / exemple</t>
  </si>
  <si>
    <t>Réponse autorisée</t>
  </si>
  <si>
    <t>Composant</t>
  </si>
  <si>
    <t>Résolveur d’intentions</t>
  </si>
  <si>
    <t>Mots-clés, synonymes et contexte écran vers une liste fermée.</t>
  </si>
  <si>
    <t>Moteur de parcours</t>
  </si>
  <si>
    <t>Machine à états : parcours_id, étape_id, validations, réponses possibles, étape_suivante.</t>
  </si>
  <si>
    <t>Moteur de modèles</t>
  </si>
  <si>
    <t>Textes pré-écrits avec variables provenant des API.</t>
  </si>
  <si>
    <t>Recherche FAQ</t>
  </si>
  <si>
    <t>Recherche lexicale dans contenus versionnés.</t>
  </si>
  <si>
    <t>Liens profonds</t>
  </si>
  <si>
    <t>Boutons ouvrant écran, filtre ou simulateur.</t>
  </si>
  <si>
    <t>Adaptateur lecture seule</t>
  </si>
  <si>
    <t>Lecture de KPI autorisés ; aucune écriture directe.</t>
  </si>
  <si>
    <t>Repli</t>
  </si>
  <si>
    <t>Intention inconnue : proposer 4 à 6 catégories puis recherche globale.</t>
  </si>
  <si>
    <t>Audit</t>
  </si>
  <si>
    <t>Tracer intention, parcours, version modèle, action cliquée et erreur.</t>
  </si>
  <si>
    <t>Intention</t>
  </si>
  <si>
    <t>NAVIGUER</t>
  </si>
  <si>
    <t>« Où ajouter une dépense ? »</t>
  </si>
  <si>
    <t>Ouvrir C07.</t>
  </si>
  <si>
    <t>EXPLIQUER_INDICATEUR</t>
  </si>
  <si>
    <t>« C’est quoi mon taux d’épargne ? »</t>
  </si>
  <si>
    <t>Définition validée + valeur personnelle si disponible.</t>
  </si>
  <si>
    <t>CRÉER_OBJECTIF</t>
  </si>
  <si>
    <t>« Je veux acheter une voiture »</t>
  </si>
  <si>
    <t>Créer objectif / simuler / explorer financement.</t>
  </si>
  <si>
    <t>AIDE_BUDGET</t>
  </si>
  <si>
    <t>« Comment faire mon budget ? »</t>
  </si>
  <si>
    <t>Arbre revenus → charges → variables → objectif.</t>
  </si>
  <si>
    <t>AIDE_DETTE</t>
  </si>
  <si>
    <t>« Comment rembourser plus vite ? »</t>
  </si>
  <si>
    <t>Ouvrir C14 + scénarios prédéfinis.</t>
  </si>
  <si>
    <t>APPRENDRE_TERME</t>
  </si>
  <si>
    <t>« C’est quoi une obligation ? »</t>
  </si>
  <si>
    <t>Résultat recherche apprentissage.</t>
  </si>
  <si>
    <t>CHERCHER_SOLUTION</t>
  </si>
  <si>
    <t>« Financement voiture »</t>
  </si>
  <si>
    <t>Ouvrir Explorer avec filtres, sans promesse.</t>
  </si>
  <si>
    <t>DÉPENSE_PARTAGÉE</t>
  </si>
  <si>
    <t>« Qui doit quoi ? »</t>
  </si>
  <si>
    <t>Lire solde autorisé et ouvrir P03.</t>
  </si>
  <si>
    <t>États, erreurs, validations, alertes et notifications</t>
  </si>
  <si>
    <t>Comportements communs à appliquer sur tous les écrans et formulaires.</t>
  </si>
  <si>
    <t>Type / cas</t>
  </si>
  <si>
    <t>Déclenchement / règle</t>
  </si>
  <si>
    <t>Canal / comportement</t>
  </si>
  <si>
    <t>État UX</t>
  </si>
  <si>
    <t>Vide</t>
  </si>
  <si>
    <t>Expliquer utilité + un seul appel à l’action principal.</t>
  </si>
  <si>
    <t>Chargement</t>
  </si>
  <si>
    <t>Squelette ; empêcher double soumission ; conserver saisie locale.</t>
  </si>
  <si>
    <t>Succès</t>
  </si>
  <si>
    <t>Confirmation brève et impact recalculé.</t>
  </si>
  <si>
    <t>Erreur validation</t>
  </si>
  <si>
    <t>Message sous champ ; conserver autres valeurs.</t>
  </si>
  <si>
    <t>Erreur API</t>
  </si>
  <si>
    <t>Action non finalisée ; Réessayer.</t>
  </si>
  <si>
    <t>Données manquantes</t>
  </si>
  <si>
    <t>« Non calculé » + donnée requise + Ajouter.</t>
  </si>
  <si>
    <t>Donnée ancienne</t>
  </si>
  <si>
    <t>Badge « À mettre à jour » + date.</t>
  </si>
  <si>
    <t>Donnée incertaine</t>
  </si>
  <si>
    <t>Badge « À confirmer » ; analyses partielles.</t>
  </si>
  <si>
    <t>Droit insuffisant</t>
  </si>
  <si>
    <t>Écran neutre ; aucune fuite de donnée.</t>
  </si>
  <si>
    <t>Alerte / notification</t>
  </si>
  <si>
    <t>Enveloppe atteint seuil paramétré.</t>
  </si>
  <si>
    <t>In-app ; push si opt-in.</t>
  </si>
  <si>
    <t>Projection</t>
  </si>
  <si>
    <t>Déficit prévisionnel avant prochain revenu.</t>
  </si>
  <si>
    <t>In-app prioritaire.</t>
  </si>
  <si>
    <t>Échéance</t>
  </si>
  <si>
    <t>Facture / dette / provision proche.</t>
  </si>
  <si>
    <t>Selon préférences.</t>
  </si>
  <si>
    <t>Hors trajectoire, jalon ou contribution oubliée.</t>
  </si>
  <si>
    <t>In-app ; push optionnel.</t>
  </si>
  <si>
    <t>Réserve</t>
  </si>
  <si>
    <t>Sous cible choisie ou cible atteinte.</t>
  </si>
  <si>
    <t>In-app.</t>
  </si>
  <si>
    <t>Échéance proche, retard déclaré, pression.</t>
  </si>
  <si>
    <t>Donnée</t>
  </si>
  <si>
    <t>Valeur ancienne / à confirmer.</t>
  </si>
  <si>
    <t>Bannière contextuelle.</t>
  </si>
  <si>
    <t>Partagé</t>
  </si>
  <si>
    <t>Invitation, dépense, règlement, permission.</t>
  </si>
  <si>
    <t>Selon rôle/préférence.</t>
  </si>
  <si>
    <t>Apprentissage</t>
  </si>
  <si>
    <t>Module débloqué / progression.</t>
  </si>
  <si>
    <t>In-app non intrusif.</t>
  </si>
  <si>
    <t>Validation formulaire</t>
  </si>
  <si>
    <t>Montant absent/non numérique</t>
  </si>
  <si>
    <t>Bloquer ; message sous champ.</t>
  </si>
  <si>
    <t>Montant ≤ 0</t>
  </si>
  <si>
    <t>Bloquer si champ positif.</t>
  </si>
  <si>
    <t>Date passée sur objectif</t>
  </si>
  <si>
    <t>Bloquer et proposer date future.</t>
  </si>
  <si>
    <t>Parts partagées ≠ montant</t>
  </si>
  <si>
    <t>Bloquer et afficher écart.</t>
  </si>
  <si>
    <t>Bloquer calcul multi-devise.</t>
  </si>
  <si>
    <t>Données incohérentes</t>
  </si>
  <si>
    <t>Demander confirmation, jamais corriger silencieusement.</t>
  </si>
  <si>
    <t>Dénominateur = 0</t>
  </si>
  <si>
    <t>Non calculable, jamais erreur technique.</t>
  </si>
  <si>
    <t>Consulter possible ; conclusion sensible bloquée selon règle.</t>
  </si>
  <si>
    <t>Contrats de données et API</t>
  </si>
  <si>
    <t>Endpoints principaux, responsabilités et contrat minimal de réponse pour tout calcul critique.</t>
  </si>
  <si>
    <t>Domaine / champ</t>
  </si>
  <si>
    <t>Endpoints / obligatoire</t>
  </si>
  <si>
    <t>Responsabilité / description</t>
  </si>
  <si>
    <t>Domaine API</t>
  </si>
  <si>
    <t>Identité / profil</t>
  </si>
  <si>
    <t>/auth/* ; /profile ; /profile/transitions</t>
  </si>
  <si>
    <t>profil, rôles, langue, devise, permissions</t>
  </si>
  <si>
    <t>/incomes</t>
  </si>
  <si>
    <t>CRUD revenus, fréquence, source, statut</t>
  </si>
  <si>
    <t>Transactions</t>
  </si>
  <si>
    <t>/transactions</t>
  </si>
  <si>
    <t>CRUD flux, catégories, source, espace</t>
  </si>
  <si>
    <t>Budgets / enveloppes</t>
  </si>
  <si>
    <t>/budgets ; /categories</t>
  </si>
  <si>
    <t>budget, enveloppes, seuils, version</t>
  </si>
  <si>
    <t>/goals ; /simulations/goal</t>
  </si>
  <si>
    <t>cible, horizon, capital, contribution, simulation</t>
  </si>
  <si>
    <t>/safety-fund ; /simulations/savings</t>
  </si>
  <si>
    <t>épargne liquide, essentielles, cible</t>
  </si>
  <si>
    <t>Dettes</t>
  </si>
  <si>
    <t>/debts ; /simulations/debt</t>
  </si>
  <si>
    <t>encours, mensualité, taux/coût, échéancier</t>
  </si>
  <si>
    <t>Fiches de paie</t>
  </si>
  <si>
    <t>/salary-slips</t>
  </si>
  <si>
    <t>document/saisie, lignes, confirmation</t>
  </si>
  <si>
    <t>Patrimoine</t>
  </si>
  <si>
    <t>/assets ; /liabilities ; /wealth/summary</t>
  </si>
  <si>
    <t>actifs, passifs, valorisations</t>
  </si>
  <si>
    <t>/paper-portfolios ; /paper-orders</t>
  </si>
  <si>
    <t>positions et ordres fictifs</t>
  </si>
  <si>
    <t>Simulations</t>
  </si>
  <si>
    <t>/simulators ; /simulations/*</t>
  </si>
  <si>
    <t>entrées, hypothèses, formule_version, résultats</t>
  </si>
  <si>
    <t>Comparaisons</t>
  </si>
  <si>
    <t>/comparisons</t>
  </si>
  <si>
    <t>options, critères, poids, résultats</t>
  </si>
  <si>
    <t>Offres</t>
  </si>
  <si>
    <t>/offers ; /providers ; /offer-sources</t>
  </si>
  <si>
    <t>offres, source, fraîcheur, conditions</t>
  </si>
  <si>
    <t>/learning/* ; /quizzes/*</t>
  </si>
  <si>
    <t>contenus, progression, quiz</t>
  </si>
  <si>
    <t>/search/global ; /search/offers</t>
  </si>
  <si>
    <t>requête, filtres, permissions</t>
  </si>
  <si>
    <t>Calendrier</t>
  </si>
  <si>
    <t>/calendar</t>
  </si>
  <si>
    <t>événements, échéances, statut</t>
  </si>
  <si>
    <t>Notifications</t>
  </si>
  <si>
    <t>/notifications</t>
  </si>
  <si>
    <t>type, sévérité, canal, lecture</t>
  </si>
  <si>
    <t>Confiance / export</t>
  </si>
  <si>
    <t>/trust/* ; /exports</t>
  </si>
  <si>
    <t>traçabilité, consentement, export</t>
  </si>
  <si>
    <t>/shared-spaces/*</t>
  </si>
  <si>
    <t>membres, permissions, dépenses, soldes, budgets</t>
  </si>
  <si>
    <t>Foyers</t>
  </si>
  <si>
    <t>/households/*</t>
  </si>
  <si>
    <t>membres, agrégats autorisés, budget, objectifs</t>
  </si>
  <si>
    <t>Préparation financement</t>
  </si>
  <si>
    <t>/funding/preparation ; /funding/checklist</t>
  </si>
  <si>
    <t>critères, pièces, résultat</t>
  </si>
  <si>
    <t>Récurrences</t>
  </si>
  <si>
    <t>/recurring</t>
  </si>
  <si>
    <t>détection, confirmation, échéances</t>
  </si>
  <si>
    <t>/chatbot/*</t>
  </si>
  <si>
    <t>intention, parcours, modèle, variables, actions</t>
  </si>
  <si>
    <t>Contrat calcul critique</t>
  </si>
  <si>
    <t>resultat</t>
  </si>
  <si>
    <t>Oui</t>
  </si>
  <si>
    <t>Valeur principale.</t>
  </si>
  <si>
    <t>unite</t>
  </si>
  <si>
    <t>DZD, %, mois, points, etc.</t>
  </si>
  <si>
    <t>formule_id</t>
  </si>
  <si>
    <t>Identifiant Fxxx ou algorithme.</t>
  </si>
  <si>
    <t>formule_version</t>
  </si>
  <si>
    <t>Version serveur.</t>
  </si>
  <si>
    <t>entrees_snapshot</t>
  </si>
  <si>
    <t>Instantané ou identifiant des entrées.</t>
  </si>
  <si>
    <t>hypotheses</t>
  </si>
  <si>
    <t>Oui si simulation</t>
  </si>
  <si>
    <t>Rendement, inflation, horizon, etc.</t>
  </si>
  <si>
    <t>avertissements</t>
  </si>
  <si>
    <t>Oui si applicable</t>
  </si>
  <si>
    <t>Données manquantes, anciennes ou partielles.</t>
  </si>
  <si>
    <t>versions_sources</t>
  </si>
  <si>
    <t>Oui si externe</t>
  </si>
  <si>
    <t>Références données utilisées.</t>
  </si>
  <si>
    <t>calcule_le</t>
  </si>
  <si>
    <t>Horodatage.</t>
  </si>
  <si>
    <t>Événements de suivi, critères QA et scénarios de test</t>
  </si>
  <si>
    <t>Référentiel destiné au suivi produit, tests unitaires des calculs et tests bout en bout par public.</t>
  </si>
  <si>
    <t>Entrée / paramètres / scénario</t>
  </si>
  <si>
    <t>Résultat attendu</t>
  </si>
  <si>
    <t>Événement de suivi</t>
  </si>
  <si>
    <t>screen_viewed</t>
  </si>
  <si>
    <t>écran_id, profil, mode réel/fictif</t>
  </si>
  <si>
    <t>onboarding_step_completed</t>
  </si>
  <si>
    <t>étape, profil</t>
  </si>
  <si>
    <t>income_added</t>
  </si>
  <si>
    <t>type_revenu, source_type</t>
  </si>
  <si>
    <t>transaction_added</t>
  </si>
  <si>
    <t>type, catégorie, espace_type</t>
  </si>
  <si>
    <t>budget_created</t>
  </si>
  <si>
    <t>période, nb_enveloppes</t>
  </si>
  <si>
    <t>budget_threshold_reached</t>
  </si>
  <si>
    <t>catégorie, seuil</t>
  </si>
  <si>
    <t>goal_created</t>
  </si>
  <si>
    <t>catégorie, horizon_bucket</t>
  </si>
  <si>
    <t>goal_simulation_run</t>
  </si>
  <si>
    <t>formule_version, scenario_type</t>
  </si>
  <si>
    <t>safety_fund_viewed</t>
  </si>
  <si>
    <t>target_configured</t>
  </si>
  <si>
    <t>debt_simulation_run</t>
  </si>
  <si>
    <t>strategy_type</t>
  </si>
  <si>
    <t>salary_slip_confirmed</t>
  </si>
  <si>
    <t>source_type</t>
  </si>
  <si>
    <t>asset_added</t>
  </si>
  <si>
    <t>asset_type</t>
  </si>
  <si>
    <t>paper_trade_created</t>
  </si>
  <si>
    <t>instrument_class</t>
  </si>
  <si>
    <t>comparison_run</t>
  </si>
  <si>
    <t>comparison_type, option_count</t>
  </si>
  <si>
    <t>offer_saved</t>
  </si>
  <si>
    <t>offer_type</t>
  </si>
  <si>
    <t>shared_expense_added</t>
  </si>
  <si>
    <t>space_type, split_rule</t>
  </si>
  <si>
    <t>settlement_confirmed</t>
  </si>
  <si>
    <t>space_type</t>
  </si>
  <si>
    <t>learning_content_completed</t>
  </si>
  <si>
    <t>content_id, level</t>
  </si>
  <si>
    <t>chatbot_intent_resolved</t>
  </si>
  <si>
    <t>intent_id, flow_id</t>
  </si>
  <si>
    <t>chatbot_fallback</t>
  </si>
  <si>
    <t>context_screen_id</t>
  </si>
  <si>
    <t>export_requested</t>
  </si>
  <si>
    <t>format, scope</t>
  </si>
  <si>
    <t>validation_error</t>
  </si>
  <si>
    <t>screen_id, error_code</t>
  </si>
  <si>
    <t>Test calcul</t>
  </si>
  <si>
    <t>Cas nominal</t>
  </si>
  <si>
    <t>Valeurs positives cohérentes</t>
  </si>
  <si>
    <t>Résultat exact à tolérance définie.</t>
  </si>
  <si>
    <t>Dénominateur nul</t>
  </si>
  <si>
    <t>revenu=0 ou dépenses essentielles=0</t>
  </si>
  <si>
    <t>Non calculable ; pas d’exception serveur.</t>
  </si>
  <si>
    <t>Valeur manquante</t>
  </si>
  <si>
    <t>champ clé absent</t>
  </si>
  <si>
    <t>Avertissement + champ requis.</t>
  </si>
  <si>
    <t>Valeur extrême</t>
  </si>
  <si>
    <t>montant très élevé / taux négatif en simulation</t>
  </si>
  <si>
    <t>Pas de débordement ; hypothèse visible.</t>
  </si>
  <si>
    <t>Devise différente</t>
  </si>
  <si>
    <t>montants multi-devises</t>
  </si>
  <si>
    <t>Conversion uniquement avec taux daté.</t>
  </si>
  <si>
    <t>date au-delà seuil</t>
  </si>
  <si>
    <t>Badge / blocage selon criticité.</t>
  </si>
  <si>
    <t>Réel/fictif</t>
  </si>
  <si>
    <t>portefeuille fictif renseigné</t>
  </si>
  <si>
    <t>Aucun impact sur patrimoine réel.</t>
  </si>
  <si>
    <t>Permissions</t>
  </si>
  <si>
    <t>membre non autorisé</t>
  </si>
  <si>
    <t>Aucune fuite de donnée.</t>
  </si>
  <si>
    <t>Scénario E2E</t>
  </si>
  <si>
    <t>Créer budget fictif → dépense → objectif → mission → progression.</t>
  </si>
  <si>
    <t>Ajouter bourse → provision études → budget/jour → objectif → premier emploi.</t>
  </si>
  <si>
    <t>Fiche de paie → budget → réserve → projet voiture → financement.</t>
  </si>
  <si>
    <t>Budget → dette → objectif logement → patrimoine → comparaison.</t>
  </si>
  <si>
    <t>Créer espace → dépense → répartition → solde → règlement.</t>
  </si>
  <si>
    <t>Créer espace → permissions → contribution → objectif commun → revue.</t>
  </si>
  <si>
    <t>Créer foyer → budget → provision rentrée → stress test → revue.</t>
  </si>
  <si>
    <t>Épargnant</t>
  </si>
  <si>
    <t>Diagnostic → réserve → apprentissage → profil risque → portefeuille fictif.</t>
  </si>
  <si>
    <t>Backlog et ordre de construction</t>
  </si>
  <si>
    <t>Ordre de réalisation recommandé pour transformer le cahier des charges en lots de développement.</t>
  </si>
  <si>
    <t>Lot</t>
  </si>
  <si>
    <t>Dépendances</t>
  </si>
  <si>
    <t>Lot 0</t>
  </si>
  <si>
    <t>Système de design, navigation, formulaires, états, permissions, composants KPI</t>
  </si>
  <si>
    <t>Lot 1</t>
  </si>
  <si>
    <t>Identité, profil, revenus, transactions, budget, enveloppes, recherche, notifications, confiance</t>
  </si>
  <si>
    <t>Lot 2</t>
  </si>
  <si>
    <t>Objectifs, réserve, dettes, atelier de simulation, formules F001-F034</t>
  </si>
  <si>
    <t>Lot 3</t>
  </si>
  <si>
    <t>Apprentissage, quiz, décodeur de fiche de paie, indice de connaissances</t>
  </si>
  <si>
    <t>Lot 4</t>
  </si>
  <si>
    <t>Patrimoine réel, portefeuille fictif, formules F035-F040</t>
  </si>
  <si>
    <t>Lots 1-3</t>
  </si>
  <si>
    <t>Lot 5</t>
  </si>
  <si>
    <t>Espaces partagés, colocation, couple, famille, formules F041-F045</t>
  </si>
  <si>
    <t>Lot 1 + permissions</t>
  </si>
  <si>
    <t>Lot 6</t>
  </si>
  <si>
    <t>Préparation financement, comparateurs et recherche de solutions</t>
  </si>
  <si>
    <t>Lots 1-2 + référentiel offres</t>
  </si>
  <si>
    <t>Lot 7</t>
  </si>
  <si>
    <t>Personnalisation complète des huit parcours et tableaux de bord</t>
  </si>
  <si>
    <t>Moteurs stabilisés</t>
  </si>
  <si>
    <t>Lot 8</t>
  </si>
  <si>
    <t>Exports, passeports, journal de décision, durcissement QA / sécurité</t>
  </si>
  <si>
    <t>Tous lots</t>
  </si>
  <si>
    <t>Matrice de provenance et traçabilité</t>
  </si>
  <si>
    <t>Cartes des parcours et écrans activés</t>
  </si>
  <si>
    <t>Navigation, tableau de bord principal, moteurs actifs et écrans disponibles pour chaque public.</t>
  </si>
  <si>
    <t>Code / élément</t>
  </si>
  <si>
    <t>Écran / spécification</t>
  </si>
  <si>
    <t>Statut dans le parcours</t>
  </si>
  <si>
    <t>Architecture du parcours</t>
  </si>
  <si>
    <t>Tableau de bord principal</t>
  </si>
  <si>
    <t>Parcours financier</t>
  </si>
  <si>
    <t>Navigation visible</t>
  </si>
  <si>
    <t>Accueil : Ma semaine • Mon argent • Mon objectif • Défis • Apprendre • Portefeuille fictif (option pédagogique) • Chatbot aide</t>
  </si>
  <si>
    <t>Aide déterministe : FAQ + arbres de décision + liens profonds; aucune génération libre.</t>
  </si>
  <si>
    <t>Principe de données</t>
  </si>
  <si>
    <t>profilage progressif, données privées par défaut, statut et date conservés.</t>
  </si>
  <si>
    <t>Moteurs actives</t>
  </si>
  <si>
    <t>Budget / Objectifs / Apprentissage / Recherche / Notifications + modules spécifiques au public.</t>
  </si>
  <si>
    <t>Santé financière étudiante</t>
  </si>
  <si>
    <t>Aujourd’hui • Mon mois • Autonomie • Mes objectifs • Revenus &amp; opportunités • Apprendre • Investir &amp; simuler (avancé) • Chatbot aide</t>
  </si>
  <si>
    <t>Tableau de bord Premier Revenu</t>
  </si>
  <si>
    <t>Aujourd’hui • Salaire • Mon argent • Ma sécurité • Mes objectifs • Mon patrimoine • Investir &amp; simuler • Apprendre • Explorer • Chatbot aide</t>
  </si>
  <si>
    <t>Aujourd’hui • Mon argent • Salaire • Ma sécurité • Mes objectifs • Mon patrimoine • Investir &amp; simuler • Explorer • Apprendre • Chatbot aide</t>
  </si>
  <si>
    <t>Budget partagé</t>
  </si>
  <si>
    <t>Espace colocation • Dépenses • Soldes • Budget commun • Calendrier • Historique • Chatbot aide</t>
  </si>
  <si>
    <t>Finances du couple</t>
  </si>
  <si>
    <t>Notre mois • Nos objectifs • Notre sécurité • Notre patrimoine • À partager • Calendrier • Apprendre • Chatbot aide</t>
  </si>
  <si>
    <t>Aujourd’hui foyer • Budget familial • Calendrier • Enfants &amp; projets • Sécurité • Patrimoine familial • Apprendre • Chatbot aide</t>
  </si>
  <si>
    <t>Aujourd’hui • Ma capacité d’épargne • Ma réserve • Mes objectifs • Inflation • Investir &amp; simuler • Apprendre • Explorer • Chatbot aide</t>
  </si>
  <si>
    <t>Écran activé</t>
  </si>
  <si>
    <t>Spécifique au parcours</t>
  </si>
  <si>
    <t>Réutilisé depuis le socle commun / espace partagé</t>
  </si>
  <si>
    <t>FINCLUDIA — Cahier des charges fonctionnel &amp; technique — version Excel</t>
  </si>
  <si>
    <t>Workbook structuré à partir du cahier des charges: parcours, écrans, champs, tableaux de bord, calculateurs, simulateurs, formules, moteurs de recherche, API, alertes et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</si>
</sst>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6"/>
      <color rgb="FFFFFFFF"/>
      <name val="Carlito"/>
    </font>
    <font>
      <i/>
      <sz val="11"/>
      <color rgb="FF5F6B76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  <font>
      <i/>
      <sz val="9"/>
      <color rgb="FF5F6B7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Répartition des écrans par public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Écrans</c:v>
          </c:tx>
          <c:invertIfNegative val="1"/>
          <c:cat>
            <c:strRef>
              <c:f>'00_Synthèse'!$D$11:$D$20</c:f>
              <c:strCache>
                <c:ptCount val="10"/>
                <c:pt idx="0">
                  <c:v>Lycéen</c:v>
                </c:pt>
                <c:pt idx="1">
                  <c:v>Étudiant</c:v>
                </c:pt>
                <c:pt idx="2">
                  <c:v>Jeune actif</c:v>
                </c:pt>
                <c:pt idx="3">
                  <c:v>Salarié</c:v>
                </c:pt>
                <c:pt idx="4">
                  <c:v>Colocataire</c:v>
                </c:pt>
                <c:pt idx="5">
                  <c:v>Couple</c:v>
                </c:pt>
                <c:pt idx="6">
                  <c:v>Famille</c:v>
                </c:pt>
                <c:pt idx="7">
                  <c:v>Épargnant débutant</c:v>
                </c:pt>
                <c:pt idx="8">
                  <c:v>Tous publics / socle commun</c:v>
                </c:pt>
                <c:pt idx="9">
                  <c:v>Espaces partagés</c:v>
                </c:pt>
              </c:strCache>
            </c:strRef>
          </c:cat>
          <c:val>
            <c:numRef>
              <c:f>'00_Synthèse'!$E$11:$E$20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26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8-4662-BA18-4DBFAB744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ublics" displayName="TblPublics" ref="A4:D12" totalsRowShown="0">
  <tableColumns count="4">
    <tableColumn id="1" name="Code"/>
    <tableColumn id="2" name="Public"/>
    <tableColumn id="3" name="Expérience"/>
    <tableColumn id="4" name="Mis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coursE2E" displayName="TblParcoursE2E" ref="A4:C14" totalsRowShown="0">
  <tableColumns count="3">
    <tableColumn id="1" name="ID"/>
    <tableColumn id="2" name="Parcours"/>
    <tableColumn id="3" name="Chaîne fonctionn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tegories" displayName="TblCategories" ref="A4:C95" totalsRowShown="0">
  <tableColumns count="3">
    <tableColumn id="1" name="Famille de catégories"/>
    <tableColumn id="2" name="Catégorie"/>
    <tableColumn id="3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onneesObjets" displayName="TblDonneesObjets" ref="A4:E37" totalsRowShown="0">
  <tableColumns count="5">
    <tableColumn id="1" name="Section"/>
    <tableColumn id="2" name="Élément"/>
    <tableColumn id="3" name="Description / champs"/>
    <tableColumn id="4" name="Validation"/>
    <tableColumn id="5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crans" displayName="TblEcrans" ref="A4:T85" totalsRowShown="0">
  <tableColumns count="20">
    <tableColumn id="1" name="Code"/>
    <tableColumn id="2" name="Écran"/>
    <tableColumn id="3" name="Public / portée"/>
    <tableColumn id="4" name="Objectif"/>
    <tableColumn id="5" name="Entrées / prérequis"/>
    <tableColumn id="6" name="Champs / données d’entrée"/>
    <tableColumn id="7" name="Actions / boutons"/>
    <tableColumn id="8" name="Résultats / sorties"/>
    <tableColumn id="9" name="Règles métier"/>
    <tableColumn id="10" name="Formules / calculs"/>
    <tableColumn id="11" name="État vide"/>
    <tableColumn id="12" name="État chargement"/>
    <tableColumn id="13" name="État partiel / donnée ancienne"/>
    <tableColumn id="14" name="Erreurs / validations"/>
    <tableColumn id="15" name="Notifications / alertes"/>
    <tableColumn id="16" name="Données / API"/>
    <tableColumn id="17" name="Événements de suivi"/>
    <tableColumn id="18" name="Critères d’acceptation"/>
    <tableColumn id="19" name="Scénario principal"/>
    <tableColumn id="22" name="S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hampsInputs" displayName="TblChampsInputs" ref="A4:F421" totalsRowShown="0">
  <tableColumns count="6">
    <tableColumn id="1" name="Code écran"/>
    <tableColumn id="2" name="Écran"/>
    <tableColumn id="3" name="Public / portée"/>
    <tableColumn id="4" name="Ordre"/>
    <tableColumn id="5" name="Champ / donnée d’entrée"/>
    <tableColumn id="6" name="Prérequis de l’écr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ctionsSorties" displayName="TblActionsSorties" ref="A4:F852" totalsRowShown="0">
  <tableColumns count="6">
    <tableColumn id="1" name="Code écran"/>
    <tableColumn id="2" name="Écran"/>
    <tableColumn id="3" name="Public / portée"/>
    <tableColumn id="4" name="Type"/>
    <tableColumn id="5" name="Ordre"/>
    <tableColumn id="6" name="Élé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ashboards" displayName="TblDashboards" ref="A4:D12" totalsRowShown="0">
  <tableColumns count="4">
    <tableColumn id="1" name="Public"/>
    <tableColumn id="2" name="Tableau de bord"/>
    <tableColumn id="3" name="Indicateurs / formules"/>
    <tableColumn id="4" name="Règles spécifiqu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alculateurs" displayName="TblCalculateurs" ref="A4:F34" totalsRowShown="0">
  <tableColumns count="6">
    <tableColumn id="1" name="ID"/>
    <tableColumn id="2" name="Calculateur / simulateur"/>
    <tableColumn id="3" name="Entrées"/>
    <tableColumn id="4" name="Sorties"/>
    <tableColumn id="5" name="Formules / algorithmes"/>
    <tableColumn id="6" name="Public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ormules" displayName="TblFormules" ref="A4:D61" totalsRowShown="0">
  <tableColumns count="4">
    <tableColumn id="1" name="ID"/>
    <tableColumn id="2" name="Indicateur"/>
    <tableColumn id="3" name="Formule / règle"/>
    <tableColumn id="4" name="Condition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Algorithmes" displayName="TblAlgorithmes" ref="A4:C8" totalsRowShown="0">
  <tableColumns count="3">
    <tableColumn id="1" name="ID"/>
    <tableColumn id="2" name="Algorithme"/>
    <tableColumn id="3" name="Règ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Recherche" displayName="TblRecherche" ref="A4:D11" totalsRowShown="0">
  <tableColumns count="4">
    <tableColumn id="1" name="Moteur"/>
    <tableColumn id="2" name="Index / sources"/>
    <tableColumn id="3" name="Entrées"/>
    <tableColumn id="4" name="Sorties / règl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hatbot" displayName="TblChatbot" ref="A4:D20" totalsRowShown="0">
  <tableColumns count="4">
    <tableColumn id="1" name="Section"/>
    <tableColumn id="2" name="Élément / intention"/>
    <tableColumn id="3" name="Fonction / exemple"/>
    <tableColumn id="4" name="Réponse autorisé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tatsAlertes" displayName="TblEtatsAlertes" ref="A4:D30" totalsRowShown="0">
  <tableColumns count="4">
    <tableColumn id="1" name="Section"/>
    <tableColumn id="2" name="Type / cas"/>
    <tableColumn id="3" name="Déclenchement / règle"/>
    <tableColumn id="4" name="Canal / comportem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API" displayName="TblAPI" ref="A4:D36" totalsRowShown="0">
  <tableColumns count="4">
    <tableColumn id="1" name="Section"/>
    <tableColumn id="2" name="Domaine / champ"/>
    <tableColumn id="3" name="Endpoints / obligatoire"/>
    <tableColumn id="4" name="Responsabilité / descrip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QATests" displayName="TblQATests" ref="A4:D42" totalsRowShown="0">
  <tableColumns count="4">
    <tableColumn id="1" name="Section"/>
    <tableColumn id="2" name="Élément"/>
    <tableColumn id="3" name="Entrée / paramètres / scénario"/>
    <tableColumn id="4" name="Résultat attendu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Backlog" displayName="TblBacklog" ref="A4:C13" totalsRowShown="0">
  <tableColumns count="3">
    <tableColumn id="1" name="Lot"/>
    <tableColumn id="2" name="Contenu"/>
    <tableColumn id="3" name="Dépendanc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rovenance" displayName="TblProvenance" ref="A4:C85" totalsRowShown="0">
  <tableColumns count="3">
    <tableColumn id="1" name="Code"/>
    <tableColumn id="2" name="Écran"/>
    <tableColumn id="3" name="Public / porté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CartesParcours" displayName="TblCartesParcours" ref="A4:E249" totalsRowShown="0">
  <tableColumns count="5">
    <tableColumn id="1" name="Public"/>
    <tableColumn id="2" name="Type"/>
    <tableColumn id="3" name="Code / élément"/>
    <tableColumn id="4" name="Écran / spécification"/>
    <tableColumn id="5" name="Statut dans le parc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A2" sqref="A2:H2"/>
    </sheetView>
  </sheetViews>
  <sheetFormatPr baseColWidth="10" defaultColWidth="8.796875" defaultRowHeight="13.8"/>
  <cols>
    <col min="1" max="1" width="28" customWidth="1"/>
    <col min="2" max="2" width="52" customWidth="1"/>
    <col min="4" max="4" width="32" customWidth="1"/>
    <col min="5" max="5" width="12" customWidth="1"/>
  </cols>
  <sheetData>
    <row r="1" spans="1:8" ht="24" customHeight="1">
      <c r="A1" s="6" t="s">
        <v>3181</v>
      </c>
      <c r="B1" s="6"/>
      <c r="C1" s="6"/>
      <c r="D1" s="6"/>
      <c r="E1" s="6"/>
      <c r="F1" s="6"/>
      <c r="G1" s="6"/>
      <c r="H1" s="6"/>
    </row>
    <row r="2" spans="1:8" ht="28.8" customHeight="1">
      <c r="A2" s="7" t="s">
        <v>3182</v>
      </c>
      <c r="B2" s="7"/>
      <c r="C2" s="7"/>
      <c r="D2" s="7"/>
      <c r="E2" s="7"/>
      <c r="F2" s="7"/>
      <c r="G2" s="7"/>
      <c r="H2" s="7"/>
    </row>
    <row r="4" spans="1:8">
      <c r="A4" s="3" t="s">
        <v>0</v>
      </c>
      <c r="B4" s="3" t="s">
        <v>1</v>
      </c>
      <c r="C4" s="1"/>
      <c r="D4" s="3"/>
      <c r="E4" s="3"/>
    </row>
    <row r="5" spans="1:8">
      <c r="A5" s="1" t="s">
        <v>2</v>
      </c>
      <c r="B5" s="2">
        <f>COUNTA('01_Publics'!A5:A50)</f>
        <v>8</v>
      </c>
      <c r="C5" s="1"/>
      <c r="D5" s="1"/>
      <c r="E5" s="1"/>
    </row>
    <row r="6" spans="1:8">
      <c r="A6" s="1" t="s">
        <v>3</v>
      </c>
      <c r="B6" s="2">
        <f>COUNTA('05_Ecrans'!A5:A250)</f>
        <v>81</v>
      </c>
      <c r="C6" s="1"/>
      <c r="D6" s="1"/>
      <c r="E6" s="1"/>
    </row>
    <row r="7" spans="1:8">
      <c r="A7" s="1" t="s">
        <v>4</v>
      </c>
      <c r="B7" s="2">
        <f>COUNTA('06_Champs_Inputs'!A5:A1000)</f>
        <v>417</v>
      </c>
      <c r="C7" s="1"/>
      <c r="D7" s="1"/>
      <c r="E7" s="1"/>
    </row>
    <row r="8" spans="1:8">
      <c r="A8" s="1" t="s">
        <v>5</v>
      </c>
      <c r="B8" s="2">
        <f>COUNTA('09_Calculateurs'!A5:A100)</f>
        <v>30</v>
      </c>
      <c r="C8" s="1"/>
      <c r="D8" s="1"/>
      <c r="E8" s="1"/>
    </row>
    <row r="9" spans="1:8">
      <c r="A9" s="1" t="s">
        <v>6</v>
      </c>
      <c r="B9" s="2">
        <f>COUNTA('10_Formules'!A5:A150)</f>
        <v>57</v>
      </c>
      <c r="C9" s="1"/>
      <c r="D9" s="1"/>
      <c r="E9" s="1"/>
    </row>
    <row r="10" spans="1:8">
      <c r="A10" s="1" t="s">
        <v>7</v>
      </c>
      <c r="B10" s="2">
        <f>COUNTA('11_Algorithmes'!A5:A50)</f>
        <v>4</v>
      </c>
      <c r="C10" s="1"/>
      <c r="D10" s="3" t="s">
        <v>8</v>
      </c>
      <c r="E10" s="3" t="s">
        <v>9</v>
      </c>
    </row>
    <row r="11" spans="1:8">
      <c r="A11" s="1" t="s">
        <v>10</v>
      </c>
      <c r="B11" s="2">
        <f>COUNTA('12_Recherche'!A5:A50)</f>
        <v>7</v>
      </c>
      <c r="C11" s="1"/>
      <c r="D11" s="1" t="s">
        <v>11</v>
      </c>
      <c r="E11" s="1">
        <f>COUNTIF('05_Ecrans'!C5:C250,D11)</f>
        <v>7</v>
      </c>
    </row>
    <row r="12" spans="1:8">
      <c r="A12" s="1" t="s">
        <v>12</v>
      </c>
      <c r="B12" s="2">
        <f>COUNTIF('15_API'!A5:A100,"Domaine API")</f>
        <v>23</v>
      </c>
      <c r="C12" s="1"/>
      <c r="D12" s="1" t="s">
        <v>13</v>
      </c>
      <c r="E12" s="1">
        <f>COUNTIF('05_Ecrans'!C5:C250,D12)</f>
        <v>8</v>
      </c>
    </row>
    <row r="13" spans="1:8">
      <c r="A13" s="1" t="s">
        <v>14</v>
      </c>
      <c r="B13" s="2">
        <f>COUNTIF('16_QA_Tests'!A5:A100,"Scénario E2E")</f>
        <v>8</v>
      </c>
      <c r="C13" s="1"/>
      <c r="D13" s="1" t="s">
        <v>15</v>
      </c>
      <c r="E13" s="1">
        <f>COUNTIF('05_Ecrans'!C5:C250,D13)</f>
        <v>7</v>
      </c>
    </row>
    <row r="14" spans="1:8">
      <c r="A14" s="1"/>
      <c r="B14" s="1"/>
      <c r="C14" s="1"/>
      <c r="D14" s="1" t="s">
        <v>16</v>
      </c>
      <c r="E14" s="1">
        <f>COUNTIF('05_Ecrans'!C5:C250,D14)</f>
        <v>5</v>
      </c>
    </row>
    <row r="15" spans="1:8">
      <c r="A15" s="1"/>
      <c r="B15" s="1"/>
      <c r="C15" s="1"/>
      <c r="D15" s="1" t="s">
        <v>17</v>
      </c>
      <c r="E15" s="1">
        <f>COUNTIF('05_Ecrans'!C5:C250,D15)</f>
        <v>6</v>
      </c>
    </row>
    <row r="16" spans="1:8">
      <c r="A16" s="3" t="s">
        <v>18</v>
      </c>
      <c r="B16" s="3" t="s">
        <v>19</v>
      </c>
      <c r="C16" s="1"/>
      <c r="D16" s="1" t="s">
        <v>20</v>
      </c>
      <c r="E16" s="1">
        <f>COUNTIF('05_Ecrans'!C5:C250,D16)</f>
        <v>4</v>
      </c>
    </row>
    <row r="17" spans="1:5">
      <c r="A17" s="1" t="s">
        <v>21</v>
      </c>
      <c r="B17" s="1" t="s">
        <v>22</v>
      </c>
      <c r="C17" s="1"/>
      <c r="D17" s="1" t="s">
        <v>23</v>
      </c>
      <c r="E17" s="1">
        <f>COUNTIF('05_Ecrans'!C5:C250,D17)</f>
        <v>6</v>
      </c>
    </row>
    <row r="18" spans="1:5">
      <c r="A18" s="1" t="s">
        <v>24</v>
      </c>
      <c r="B18" s="1" t="s">
        <v>25</v>
      </c>
      <c r="C18" s="1"/>
      <c r="D18" s="1" t="s">
        <v>26</v>
      </c>
      <c r="E18" s="1">
        <f>COUNTIF('05_Ecrans'!C5:C250,D18)</f>
        <v>7</v>
      </c>
    </row>
    <row r="19" spans="1:5">
      <c r="A19" s="1" t="s">
        <v>27</v>
      </c>
      <c r="B19" s="1" t="s">
        <v>28</v>
      </c>
      <c r="C19" s="1"/>
      <c r="D19" s="1" t="s">
        <v>29</v>
      </c>
      <c r="E19" s="1">
        <f>COUNTIF('05_Ecrans'!C5:C250,D19)</f>
        <v>26</v>
      </c>
    </row>
    <row r="20" spans="1:5">
      <c r="A20" s="1" t="s">
        <v>30</v>
      </c>
      <c r="B20" s="1" t="s">
        <v>31</v>
      </c>
      <c r="C20" s="1"/>
      <c r="D20" s="1" t="s">
        <v>32</v>
      </c>
      <c r="E20" s="1">
        <f>COUNTIF('05_Ecrans'!C5:C250,D20)</f>
        <v>5</v>
      </c>
    </row>
    <row r="21" spans="1:5">
      <c r="A21" s="1" t="s">
        <v>33</v>
      </c>
      <c r="B21" s="1" t="s">
        <v>34</v>
      </c>
      <c r="C21" s="1"/>
      <c r="D21" s="1"/>
      <c r="E21" s="1"/>
    </row>
    <row r="22" spans="1:5">
      <c r="A22" s="1" t="s">
        <v>35</v>
      </c>
      <c r="B22" s="1" t="s">
        <v>36</v>
      </c>
      <c r="C22" s="1"/>
      <c r="D22" s="1"/>
      <c r="E22" s="1"/>
    </row>
    <row r="23" spans="1:5">
      <c r="A23" s="1" t="s">
        <v>37</v>
      </c>
      <c r="B23" s="1" t="s">
        <v>38</v>
      </c>
      <c r="C23" s="1"/>
      <c r="D23" s="1"/>
      <c r="E23" s="1"/>
    </row>
    <row r="24" spans="1:5">
      <c r="A24" s="1" t="s">
        <v>39</v>
      </c>
      <c r="B24" s="1" t="s">
        <v>40</v>
      </c>
      <c r="C24" s="1"/>
      <c r="D24" s="1"/>
      <c r="E24" s="1"/>
    </row>
    <row r="25" spans="1:5">
      <c r="A25" s="1" t="s">
        <v>41</v>
      </c>
      <c r="B25" s="1" t="s">
        <v>42</v>
      </c>
      <c r="C25" s="1"/>
      <c r="D25" s="1"/>
      <c r="E25" s="1"/>
    </row>
    <row r="26" spans="1:5">
      <c r="A26" s="1" t="s">
        <v>43</v>
      </c>
      <c r="B26" s="1" t="s">
        <v>44</v>
      </c>
      <c r="C26" s="1"/>
      <c r="D26" s="1"/>
      <c r="E26" s="1"/>
    </row>
    <row r="27" spans="1:5">
      <c r="A27" s="1" t="s">
        <v>45</v>
      </c>
      <c r="B27" s="1" t="s">
        <v>46</v>
      </c>
      <c r="C27" s="1"/>
      <c r="D27" s="1"/>
      <c r="E27" s="1"/>
    </row>
    <row r="28" spans="1:5">
      <c r="A28" s="1" t="s">
        <v>47</v>
      </c>
      <c r="B28" s="1" t="s">
        <v>48</v>
      </c>
      <c r="C28" s="1"/>
      <c r="D28" s="1"/>
      <c r="E28" s="1"/>
    </row>
    <row r="29" spans="1:5">
      <c r="A29" s="1" t="s">
        <v>49</v>
      </c>
      <c r="B29" s="1" t="s">
        <v>50</v>
      </c>
      <c r="C29" s="1"/>
      <c r="D29" s="1"/>
      <c r="E29" s="1"/>
    </row>
    <row r="30" spans="1:5">
      <c r="A30" s="1" t="s">
        <v>51</v>
      </c>
      <c r="B30" s="1" t="s">
        <v>52</v>
      </c>
      <c r="C30" s="1"/>
      <c r="D30" s="1"/>
      <c r="E30" s="1"/>
    </row>
    <row r="31" spans="1:5">
      <c r="A31" s="1" t="s">
        <v>53</v>
      </c>
      <c r="B31" s="1" t="s">
        <v>54</v>
      </c>
      <c r="C31" s="1"/>
      <c r="D31" s="1"/>
      <c r="E31" s="1"/>
    </row>
    <row r="32" spans="1:5">
      <c r="A32" s="1" t="s">
        <v>55</v>
      </c>
      <c r="B32" s="1" t="s">
        <v>56</v>
      </c>
      <c r="C32" s="1"/>
      <c r="D32" s="1"/>
      <c r="E32" s="1"/>
    </row>
    <row r="33" spans="1:5">
      <c r="A33" s="1" t="s">
        <v>57</v>
      </c>
      <c r="B33" s="1" t="s">
        <v>58</v>
      </c>
      <c r="C33" s="1"/>
      <c r="D33" s="1"/>
      <c r="E33" s="1"/>
    </row>
    <row r="34" spans="1:5">
      <c r="A34" s="1" t="s">
        <v>59</v>
      </c>
      <c r="B34" s="1" t="s">
        <v>60</v>
      </c>
      <c r="C34" s="1"/>
      <c r="D34" s="1"/>
      <c r="E34" s="1"/>
    </row>
    <row r="35" spans="1:5">
      <c r="A35" s="1" t="s">
        <v>61</v>
      </c>
      <c r="B35" s="1" t="s">
        <v>62</v>
      </c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baseColWidth="10" defaultColWidth="8.796875" defaultRowHeight="13.8"/>
  <cols>
    <col min="1" max="1" width="10" customWidth="1"/>
    <col min="2" max="2" width="22" customWidth="1"/>
    <col min="3" max="3" width="30" customWidth="1"/>
    <col min="4" max="4" width="70" customWidth="1"/>
  </cols>
  <sheetData>
    <row r="1" spans="1:4" ht="22.35" customHeight="1">
      <c r="A1" s="8" t="s">
        <v>63</v>
      </c>
      <c r="B1" s="8"/>
      <c r="C1" s="8"/>
      <c r="D1" s="8"/>
    </row>
    <row r="2" spans="1:4" ht="27.15" customHeight="1">
      <c r="A2" s="9" t="s">
        <v>64</v>
      </c>
      <c r="B2" s="9"/>
      <c r="C2" s="9"/>
      <c r="D2" s="9"/>
    </row>
    <row r="4" spans="1:4" ht="22.35" customHeight="1">
      <c r="A4" s="4" t="s">
        <v>65</v>
      </c>
      <c r="B4" s="4" t="s">
        <v>66</v>
      </c>
      <c r="C4" s="4" t="s">
        <v>67</v>
      </c>
      <c r="D4" s="4" t="s">
        <v>68</v>
      </c>
    </row>
    <row r="5" spans="1:4">
      <c r="A5" s="5" t="s">
        <v>69</v>
      </c>
      <c r="B5" s="5" t="s">
        <v>11</v>
      </c>
      <c r="C5" s="5" t="s">
        <v>70</v>
      </c>
      <c r="D5" s="5" t="s">
        <v>71</v>
      </c>
    </row>
    <row r="6" spans="1:4">
      <c r="A6" s="5" t="s">
        <v>72</v>
      </c>
      <c r="B6" s="5" t="s">
        <v>13</v>
      </c>
      <c r="C6" s="5" t="s">
        <v>73</v>
      </c>
      <c r="D6" s="5" t="s">
        <v>74</v>
      </c>
    </row>
    <row r="7" spans="1:4">
      <c r="A7" s="5" t="s">
        <v>75</v>
      </c>
      <c r="B7" s="5" t="s">
        <v>15</v>
      </c>
      <c r="C7" s="5" t="s">
        <v>76</v>
      </c>
      <c r="D7" s="5" t="s">
        <v>77</v>
      </c>
    </row>
    <row r="8" spans="1:4">
      <c r="A8" s="5" t="s">
        <v>78</v>
      </c>
      <c r="B8" s="5" t="s">
        <v>16</v>
      </c>
      <c r="C8" s="5" t="s">
        <v>79</v>
      </c>
      <c r="D8" s="5" t="s">
        <v>80</v>
      </c>
    </row>
    <row r="9" spans="1:4">
      <c r="A9" s="5" t="s">
        <v>81</v>
      </c>
      <c r="B9" s="5" t="s">
        <v>17</v>
      </c>
      <c r="C9" s="5" t="s">
        <v>82</v>
      </c>
      <c r="D9" s="5" t="s">
        <v>83</v>
      </c>
    </row>
    <row r="10" spans="1:4">
      <c r="A10" s="5" t="s">
        <v>84</v>
      </c>
      <c r="B10" s="5" t="s">
        <v>20</v>
      </c>
      <c r="C10" s="5" t="s">
        <v>85</v>
      </c>
      <c r="D10" s="5" t="s">
        <v>86</v>
      </c>
    </row>
    <row r="11" spans="1:4">
      <c r="A11" s="5" t="s">
        <v>87</v>
      </c>
      <c r="B11" s="5" t="s">
        <v>23</v>
      </c>
      <c r="C11" s="5" t="s">
        <v>88</v>
      </c>
      <c r="D11" s="5" t="s">
        <v>89</v>
      </c>
    </row>
    <row r="12" spans="1:4" ht="27.6">
      <c r="A12" s="5" t="s">
        <v>90</v>
      </c>
      <c r="B12" s="5" t="s">
        <v>26</v>
      </c>
      <c r="C12" s="5" t="s">
        <v>91</v>
      </c>
      <c r="D12" s="5" t="s">
        <v>92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34" sqref="C34"/>
    </sheetView>
  </sheetViews>
  <sheetFormatPr baseColWidth="10" defaultColWidth="8.796875" defaultRowHeight="13.8"/>
  <cols>
    <col min="1" max="1" width="10" customWidth="1"/>
    <col min="2" max="2" width="32" customWidth="1"/>
    <col min="3" max="3" width="90" customWidth="1"/>
  </cols>
  <sheetData>
    <row r="1" spans="1:3" ht="22.35" customHeight="1">
      <c r="A1" s="8" t="s">
        <v>25</v>
      </c>
      <c r="B1" s="8"/>
      <c r="C1" s="8"/>
    </row>
    <row r="2" spans="1:3" ht="27.15" customHeight="1">
      <c r="A2" s="9" t="s">
        <v>93</v>
      </c>
      <c r="B2" s="9"/>
      <c r="C2" s="9"/>
    </row>
    <row r="4" spans="1:3" ht="22.35" customHeight="1">
      <c r="A4" s="4" t="s">
        <v>94</v>
      </c>
      <c r="B4" s="4" t="s">
        <v>95</v>
      </c>
      <c r="C4" s="4" t="s">
        <v>96</v>
      </c>
    </row>
    <row r="5" spans="1:3">
      <c r="A5" s="5" t="s">
        <v>97</v>
      </c>
      <c r="B5" s="5" t="s">
        <v>98</v>
      </c>
      <c r="C5" s="5" t="s">
        <v>99</v>
      </c>
    </row>
    <row r="6" spans="1:3">
      <c r="A6" s="5" t="s">
        <v>100</v>
      </c>
      <c r="B6" s="5" t="s">
        <v>101</v>
      </c>
      <c r="C6" s="5" t="s">
        <v>102</v>
      </c>
    </row>
    <row r="7" spans="1:3">
      <c r="A7" s="5" t="s">
        <v>103</v>
      </c>
      <c r="B7" s="5" t="s">
        <v>104</v>
      </c>
      <c r="C7" s="5" t="s">
        <v>105</v>
      </c>
    </row>
    <row r="8" spans="1:3">
      <c r="A8" s="5" t="s">
        <v>106</v>
      </c>
      <c r="B8" s="5" t="s">
        <v>107</v>
      </c>
      <c r="C8" s="5" t="s">
        <v>108</v>
      </c>
    </row>
    <row r="9" spans="1:3">
      <c r="A9" s="5" t="s">
        <v>109</v>
      </c>
      <c r="B9" s="5" t="s">
        <v>110</v>
      </c>
      <c r="C9" s="5" t="s">
        <v>111</v>
      </c>
    </row>
    <row r="10" spans="1:3">
      <c r="A10" s="5" t="s">
        <v>112</v>
      </c>
      <c r="B10" s="5" t="s">
        <v>113</v>
      </c>
      <c r="C10" s="5" t="s">
        <v>114</v>
      </c>
    </row>
    <row r="11" spans="1:3">
      <c r="A11" s="5" t="s">
        <v>115</v>
      </c>
      <c r="B11" s="5" t="s">
        <v>116</v>
      </c>
      <c r="C11" s="5" t="s">
        <v>117</v>
      </c>
    </row>
    <row r="12" spans="1:3">
      <c r="A12" s="5" t="s">
        <v>118</v>
      </c>
      <c r="B12" s="5" t="s">
        <v>119</v>
      </c>
      <c r="C12" s="5" t="s">
        <v>120</v>
      </c>
    </row>
    <row r="13" spans="1:3">
      <c r="A13" s="5" t="s">
        <v>121</v>
      </c>
      <c r="B13" s="5" t="s">
        <v>122</v>
      </c>
      <c r="C13" s="5" t="s">
        <v>123</v>
      </c>
    </row>
    <row r="14" spans="1:3">
      <c r="A14" s="5" t="s">
        <v>124</v>
      </c>
      <c r="B14" s="5" t="s">
        <v>125</v>
      </c>
      <c r="C14" s="5" t="s">
        <v>126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workbookViewId="0">
      <selection activeCell="A2" sqref="A2:C2"/>
    </sheetView>
  </sheetViews>
  <sheetFormatPr baseColWidth="10" defaultColWidth="8.796875" defaultRowHeight="13.8"/>
  <cols>
    <col min="1" max="1" width="34" customWidth="1"/>
    <col min="2" max="2" width="38" customWidth="1"/>
    <col min="3" max="3" width="28" customWidth="1"/>
  </cols>
  <sheetData>
    <row r="1" spans="1:3" ht="22.35" customHeight="1">
      <c r="A1" s="8" t="s">
        <v>28</v>
      </c>
      <c r="B1" s="8"/>
      <c r="C1" s="8"/>
    </row>
    <row r="2" spans="1:3" ht="27.15" customHeight="1">
      <c r="A2" s="9" t="s">
        <v>127</v>
      </c>
      <c r="B2" s="9"/>
      <c r="C2" s="9"/>
    </row>
    <row r="4" spans="1:3" ht="22.35" customHeight="1">
      <c r="A4" s="4" t="s">
        <v>128</v>
      </c>
      <c r="B4" s="4" t="s">
        <v>129</v>
      </c>
      <c r="C4" s="4" t="s">
        <v>130</v>
      </c>
    </row>
    <row r="5" spans="1:3">
      <c r="A5" s="5" t="s">
        <v>131</v>
      </c>
      <c r="B5" s="5" t="s">
        <v>132</v>
      </c>
      <c r="C5" s="5" t="s">
        <v>133</v>
      </c>
    </row>
    <row r="6" spans="1:3">
      <c r="A6" s="5" t="s">
        <v>131</v>
      </c>
      <c r="B6" s="5" t="s">
        <v>134</v>
      </c>
      <c r="C6" s="5" t="s">
        <v>133</v>
      </c>
    </row>
    <row r="7" spans="1:3">
      <c r="A7" s="5" t="s">
        <v>131</v>
      </c>
      <c r="B7" s="5" t="s">
        <v>135</v>
      </c>
      <c r="C7" s="5" t="s">
        <v>133</v>
      </c>
    </row>
    <row r="8" spans="1:3">
      <c r="A8" s="5" t="s">
        <v>131</v>
      </c>
      <c r="B8" s="5" t="s">
        <v>136</v>
      </c>
      <c r="C8" s="5" t="s">
        <v>133</v>
      </c>
    </row>
    <row r="9" spans="1:3">
      <c r="A9" s="5" t="s">
        <v>131</v>
      </c>
      <c r="B9" s="5" t="s">
        <v>137</v>
      </c>
      <c r="C9" s="5" t="s">
        <v>133</v>
      </c>
    </row>
    <row r="10" spans="1:3">
      <c r="A10" s="5" t="s">
        <v>131</v>
      </c>
      <c r="B10" s="5" t="s">
        <v>138</v>
      </c>
      <c r="C10" s="5" t="s">
        <v>133</v>
      </c>
    </row>
    <row r="11" spans="1:3">
      <c r="A11" s="5" t="s">
        <v>131</v>
      </c>
      <c r="B11" s="5" t="s">
        <v>139</v>
      </c>
      <c r="C11" s="5" t="s">
        <v>133</v>
      </c>
    </row>
    <row r="12" spans="1:3">
      <c r="A12" s="5" t="s">
        <v>131</v>
      </c>
      <c r="B12" s="5" t="s">
        <v>140</v>
      </c>
      <c r="C12" s="5" t="s">
        <v>133</v>
      </c>
    </row>
    <row r="13" spans="1:3">
      <c r="A13" s="5" t="s">
        <v>131</v>
      </c>
      <c r="B13" s="5" t="s">
        <v>141</v>
      </c>
      <c r="C13" s="5" t="s">
        <v>133</v>
      </c>
    </row>
    <row r="14" spans="1:3">
      <c r="A14" s="5" t="s">
        <v>131</v>
      </c>
      <c r="B14" s="5" t="s">
        <v>142</v>
      </c>
      <c r="C14" s="5" t="s">
        <v>133</v>
      </c>
    </row>
    <row r="15" spans="1:3">
      <c r="A15" s="5" t="s">
        <v>131</v>
      </c>
      <c r="B15" s="5" t="s">
        <v>143</v>
      </c>
      <c r="C15" s="5" t="s">
        <v>133</v>
      </c>
    </row>
    <row r="16" spans="1:3">
      <c r="A16" s="5" t="s">
        <v>131</v>
      </c>
      <c r="B16" s="5" t="s">
        <v>144</v>
      </c>
      <c r="C16" s="5" t="s">
        <v>133</v>
      </c>
    </row>
    <row r="17" spans="1:3">
      <c r="A17" s="5" t="s">
        <v>131</v>
      </c>
      <c r="B17" s="5" t="s">
        <v>145</v>
      </c>
      <c r="C17" s="5" t="s">
        <v>133</v>
      </c>
    </row>
    <row r="18" spans="1:3">
      <c r="A18" s="5" t="s">
        <v>146</v>
      </c>
      <c r="B18" s="5" t="s">
        <v>147</v>
      </c>
      <c r="C18" s="5" t="s">
        <v>133</v>
      </c>
    </row>
    <row r="19" spans="1:3">
      <c r="A19" s="5" t="s">
        <v>146</v>
      </c>
      <c r="B19" s="5" t="s">
        <v>148</v>
      </c>
      <c r="C19" s="5" t="s">
        <v>133</v>
      </c>
    </row>
    <row r="20" spans="1:3">
      <c r="A20" s="5" t="s">
        <v>146</v>
      </c>
      <c r="B20" s="5" t="s">
        <v>149</v>
      </c>
      <c r="C20" s="5" t="s">
        <v>133</v>
      </c>
    </row>
    <row r="21" spans="1:3">
      <c r="A21" s="5" t="s">
        <v>146</v>
      </c>
      <c r="B21" s="5" t="s">
        <v>150</v>
      </c>
      <c r="C21" s="5" t="s">
        <v>133</v>
      </c>
    </row>
    <row r="22" spans="1:3">
      <c r="A22" s="5" t="s">
        <v>146</v>
      </c>
      <c r="B22" s="5" t="s">
        <v>151</v>
      </c>
      <c r="C22" s="5" t="s">
        <v>133</v>
      </c>
    </row>
    <row r="23" spans="1:3">
      <c r="A23" s="5" t="s">
        <v>146</v>
      </c>
      <c r="B23" s="5" t="s">
        <v>152</v>
      </c>
      <c r="C23" s="5" t="s">
        <v>133</v>
      </c>
    </row>
    <row r="24" spans="1:3">
      <c r="A24" s="5" t="s">
        <v>146</v>
      </c>
      <c r="B24" s="5" t="s">
        <v>153</v>
      </c>
      <c r="C24" s="5" t="s">
        <v>133</v>
      </c>
    </row>
    <row r="25" spans="1:3">
      <c r="A25" s="5" t="s">
        <v>146</v>
      </c>
      <c r="B25" s="5" t="s">
        <v>154</v>
      </c>
      <c r="C25" s="5" t="s">
        <v>133</v>
      </c>
    </row>
    <row r="26" spans="1:3">
      <c r="A26" s="5" t="s">
        <v>146</v>
      </c>
      <c r="B26" s="5" t="s">
        <v>155</v>
      </c>
      <c r="C26" s="5" t="s">
        <v>133</v>
      </c>
    </row>
    <row r="27" spans="1:3">
      <c r="A27" s="5" t="s">
        <v>146</v>
      </c>
      <c r="B27" s="5" t="s">
        <v>156</v>
      </c>
      <c r="C27" s="5" t="s">
        <v>133</v>
      </c>
    </row>
    <row r="28" spans="1:3">
      <c r="A28" s="5" t="s">
        <v>146</v>
      </c>
      <c r="B28" s="5" t="s">
        <v>157</v>
      </c>
      <c r="C28" s="5" t="s">
        <v>133</v>
      </c>
    </row>
    <row r="29" spans="1:3">
      <c r="A29" s="5" t="s">
        <v>146</v>
      </c>
      <c r="B29" s="5" t="s">
        <v>158</v>
      </c>
      <c r="C29" s="5" t="s">
        <v>133</v>
      </c>
    </row>
    <row r="30" spans="1:3">
      <c r="A30" s="5" t="s">
        <v>146</v>
      </c>
      <c r="B30" s="5" t="s">
        <v>159</v>
      </c>
      <c r="C30" s="5" t="s">
        <v>133</v>
      </c>
    </row>
    <row r="31" spans="1:3">
      <c r="A31" s="5" t="s">
        <v>146</v>
      </c>
      <c r="B31" s="5" t="s">
        <v>160</v>
      </c>
      <c r="C31" s="5" t="s">
        <v>133</v>
      </c>
    </row>
    <row r="32" spans="1:3">
      <c r="A32" s="5" t="s">
        <v>146</v>
      </c>
      <c r="B32" s="5" t="s">
        <v>161</v>
      </c>
      <c r="C32" s="5" t="s">
        <v>133</v>
      </c>
    </row>
    <row r="33" spans="1:3">
      <c r="A33" s="5" t="s">
        <v>162</v>
      </c>
      <c r="B33" s="5" t="s">
        <v>163</v>
      </c>
      <c r="C33" s="5" t="s">
        <v>133</v>
      </c>
    </row>
    <row r="34" spans="1:3">
      <c r="A34" s="5" t="s">
        <v>162</v>
      </c>
      <c r="B34" s="5" t="s">
        <v>164</v>
      </c>
      <c r="C34" s="5" t="s">
        <v>133</v>
      </c>
    </row>
    <row r="35" spans="1:3">
      <c r="A35" s="5" t="s">
        <v>162</v>
      </c>
      <c r="B35" s="5" t="s">
        <v>165</v>
      </c>
      <c r="C35" s="5" t="s">
        <v>133</v>
      </c>
    </row>
    <row r="36" spans="1:3">
      <c r="A36" s="5" t="s">
        <v>162</v>
      </c>
      <c r="B36" s="5" t="s">
        <v>166</v>
      </c>
      <c r="C36" s="5" t="s">
        <v>133</v>
      </c>
    </row>
    <row r="37" spans="1:3">
      <c r="A37" s="5" t="s">
        <v>162</v>
      </c>
      <c r="B37" s="5" t="s">
        <v>167</v>
      </c>
      <c r="C37" s="5" t="s">
        <v>133</v>
      </c>
    </row>
    <row r="38" spans="1:3">
      <c r="A38" s="5" t="s">
        <v>162</v>
      </c>
      <c r="B38" s="5" t="s">
        <v>168</v>
      </c>
      <c r="C38" s="5" t="s">
        <v>133</v>
      </c>
    </row>
    <row r="39" spans="1:3">
      <c r="A39" s="5" t="s">
        <v>162</v>
      </c>
      <c r="B39" s="5" t="s">
        <v>169</v>
      </c>
      <c r="C39" s="5" t="s">
        <v>133</v>
      </c>
    </row>
    <row r="40" spans="1:3">
      <c r="A40" s="5" t="s">
        <v>162</v>
      </c>
      <c r="B40" s="5" t="s">
        <v>170</v>
      </c>
      <c r="C40" s="5" t="s">
        <v>133</v>
      </c>
    </row>
    <row r="41" spans="1:3">
      <c r="A41" s="5" t="s">
        <v>162</v>
      </c>
      <c r="B41" s="5" t="s">
        <v>171</v>
      </c>
      <c r="C41" s="5" t="s">
        <v>133</v>
      </c>
    </row>
    <row r="42" spans="1:3">
      <c r="A42" s="5" t="s">
        <v>162</v>
      </c>
      <c r="B42" s="5" t="s">
        <v>172</v>
      </c>
      <c r="C42" s="5" t="s">
        <v>133</v>
      </c>
    </row>
    <row r="43" spans="1:3">
      <c r="A43" s="5" t="s">
        <v>162</v>
      </c>
      <c r="B43" s="5" t="s">
        <v>173</v>
      </c>
      <c r="C43" s="5" t="s">
        <v>133</v>
      </c>
    </row>
    <row r="44" spans="1:3">
      <c r="A44" s="5" t="s">
        <v>174</v>
      </c>
      <c r="B44" s="5" t="s">
        <v>175</v>
      </c>
      <c r="C44" s="5" t="s">
        <v>133</v>
      </c>
    </row>
    <row r="45" spans="1:3">
      <c r="A45" s="5" t="s">
        <v>174</v>
      </c>
      <c r="B45" s="5" t="s">
        <v>176</v>
      </c>
      <c r="C45" s="5" t="s">
        <v>133</v>
      </c>
    </row>
    <row r="46" spans="1:3">
      <c r="A46" s="5" t="s">
        <v>174</v>
      </c>
      <c r="B46" s="5" t="s">
        <v>177</v>
      </c>
      <c r="C46" s="5" t="s">
        <v>133</v>
      </c>
    </row>
    <row r="47" spans="1:3">
      <c r="A47" s="5" t="s">
        <v>174</v>
      </c>
      <c r="B47" s="5" t="s">
        <v>178</v>
      </c>
      <c r="C47" s="5" t="s">
        <v>133</v>
      </c>
    </row>
    <row r="48" spans="1:3">
      <c r="A48" s="5" t="s">
        <v>174</v>
      </c>
      <c r="B48" s="5" t="s">
        <v>179</v>
      </c>
      <c r="C48" s="5" t="s">
        <v>133</v>
      </c>
    </row>
    <row r="49" spans="1:3">
      <c r="A49" s="5" t="s">
        <v>174</v>
      </c>
      <c r="B49" s="5" t="s">
        <v>180</v>
      </c>
      <c r="C49" s="5" t="s">
        <v>133</v>
      </c>
    </row>
    <row r="50" spans="1:3">
      <c r="A50" s="5" t="s">
        <v>174</v>
      </c>
      <c r="B50" s="5" t="s">
        <v>181</v>
      </c>
      <c r="C50" s="5" t="s">
        <v>133</v>
      </c>
    </row>
    <row r="51" spans="1:3">
      <c r="A51" s="5" t="s">
        <v>174</v>
      </c>
      <c r="B51" s="5" t="s">
        <v>182</v>
      </c>
      <c r="C51" s="5" t="s">
        <v>133</v>
      </c>
    </row>
    <row r="52" spans="1:3">
      <c r="A52" s="5" t="s">
        <v>174</v>
      </c>
      <c r="B52" s="5" t="s">
        <v>183</v>
      </c>
      <c r="C52" s="5" t="s">
        <v>133</v>
      </c>
    </row>
    <row r="53" spans="1:3">
      <c r="A53" s="5" t="s">
        <v>184</v>
      </c>
      <c r="B53" s="5" t="s">
        <v>185</v>
      </c>
      <c r="C53" s="5" t="s">
        <v>133</v>
      </c>
    </row>
    <row r="54" spans="1:3">
      <c r="A54" s="5" t="s">
        <v>184</v>
      </c>
      <c r="B54" s="5" t="s">
        <v>186</v>
      </c>
      <c r="C54" s="5" t="s">
        <v>133</v>
      </c>
    </row>
    <row r="55" spans="1:3">
      <c r="A55" s="5" t="s">
        <v>184</v>
      </c>
      <c r="B55" s="5" t="s">
        <v>187</v>
      </c>
      <c r="C55" s="5" t="s">
        <v>133</v>
      </c>
    </row>
    <row r="56" spans="1:3">
      <c r="A56" s="5" t="s">
        <v>184</v>
      </c>
      <c r="B56" s="5" t="s">
        <v>188</v>
      </c>
      <c r="C56" s="5" t="s">
        <v>133</v>
      </c>
    </row>
    <row r="57" spans="1:3">
      <c r="A57" s="5" t="s">
        <v>184</v>
      </c>
      <c r="B57" s="5" t="s">
        <v>189</v>
      </c>
      <c r="C57" s="5" t="s">
        <v>133</v>
      </c>
    </row>
    <row r="58" spans="1:3">
      <c r="A58" s="5" t="s">
        <v>184</v>
      </c>
      <c r="B58" s="5" t="s">
        <v>190</v>
      </c>
      <c r="C58" s="5" t="s">
        <v>133</v>
      </c>
    </row>
    <row r="59" spans="1:3">
      <c r="A59" s="5" t="s">
        <v>184</v>
      </c>
      <c r="B59" s="5" t="s">
        <v>181</v>
      </c>
      <c r="C59" s="5" t="s">
        <v>133</v>
      </c>
    </row>
    <row r="60" spans="1:3">
      <c r="A60" s="5" t="s">
        <v>184</v>
      </c>
      <c r="B60" s="5" t="s">
        <v>191</v>
      </c>
      <c r="C60" s="5" t="s">
        <v>133</v>
      </c>
    </row>
    <row r="61" spans="1:3">
      <c r="A61" s="5" t="s">
        <v>184</v>
      </c>
      <c r="B61" s="5" t="s">
        <v>192</v>
      </c>
      <c r="C61" s="5" t="s">
        <v>133</v>
      </c>
    </row>
    <row r="62" spans="1:3">
      <c r="A62" s="5" t="s">
        <v>184</v>
      </c>
      <c r="B62" s="5" t="s">
        <v>193</v>
      </c>
      <c r="C62" s="5" t="s">
        <v>133</v>
      </c>
    </row>
    <row r="63" spans="1:3">
      <c r="A63" s="5" t="s">
        <v>184</v>
      </c>
      <c r="B63" s="5" t="s">
        <v>194</v>
      </c>
      <c r="C63" s="5" t="s">
        <v>133</v>
      </c>
    </row>
    <row r="64" spans="1:3">
      <c r="A64" s="5" t="s">
        <v>184</v>
      </c>
      <c r="B64" s="5" t="s">
        <v>195</v>
      </c>
      <c r="C64" s="5" t="s">
        <v>133</v>
      </c>
    </row>
    <row r="65" spans="1:3">
      <c r="A65" s="5" t="s">
        <v>184</v>
      </c>
      <c r="B65" s="5" t="s">
        <v>196</v>
      </c>
      <c r="C65" s="5" t="s">
        <v>133</v>
      </c>
    </row>
    <row r="66" spans="1:3">
      <c r="A66" s="5" t="s">
        <v>184</v>
      </c>
      <c r="B66" s="5" t="s">
        <v>197</v>
      </c>
      <c r="C66" s="5" t="s">
        <v>133</v>
      </c>
    </row>
    <row r="67" spans="1:3">
      <c r="A67" s="5" t="s">
        <v>198</v>
      </c>
      <c r="B67" s="5" t="s">
        <v>199</v>
      </c>
      <c r="C67" s="5" t="s">
        <v>133</v>
      </c>
    </row>
    <row r="68" spans="1:3">
      <c r="A68" s="5" t="s">
        <v>198</v>
      </c>
      <c r="B68" s="5" t="s">
        <v>200</v>
      </c>
      <c r="C68" s="5" t="s">
        <v>133</v>
      </c>
    </row>
    <row r="69" spans="1:3">
      <c r="A69" s="5" t="s">
        <v>198</v>
      </c>
      <c r="B69" s="5" t="s">
        <v>201</v>
      </c>
      <c r="C69" s="5" t="s">
        <v>133</v>
      </c>
    </row>
    <row r="70" spans="1:3">
      <c r="A70" s="5" t="s">
        <v>198</v>
      </c>
      <c r="B70" s="5" t="s">
        <v>202</v>
      </c>
      <c r="C70" s="5" t="s">
        <v>133</v>
      </c>
    </row>
    <row r="71" spans="1:3">
      <c r="A71" s="5" t="s">
        <v>198</v>
      </c>
      <c r="B71" s="5" t="s">
        <v>203</v>
      </c>
      <c r="C71" s="5" t="s">
        <v>133</v>
      </c>
    </row>
    <row r="72" spans="1:3">
      <c r="A72" s="5" t="s">
        <v>198</v>
      </c>
      <c r="B72" s="5" t="s">
        <v>204</v>
      </c>
      <c r="C72" s="5" t="s">
        <v>133</v>
      </c>
    </row>
    <row r="73" spans="1:3">
      <c r="A73" s="5" t="s">
        <v>198</v>
      </c>
      <c r="B73" s="5" t="s">
        <v>205</v>
      </c>
      <c r="C73" s="5" t="s">
        <v>133</v>
      </c>
    </row>
    <row r="74" spans="1:3">
      <c r="A74" s="5" t="s">
        <v>198</v>
      </c>
      <c r="B74" s="5" t="s">
        <v>206</v>
      </c>
      <c r="C74" s="5" t="s">
        <v>133</v>
      </c>
    </row>
    <row r="75" spans="1:3">
      <c r="A75" s="5" t="s">
        <v>198</v>
      </c>
      <c r="B75" s="5" t="s">
        <v>207</v>
      </c>
      <c r="C75" s="5" t="s">
        <v>133</v>
      </c>
    </row>
    <row r="76" spans="1:3">
      <c r="A76" s="5" t="s">
        <v>198</v>
      </c>
      <c r="B76" s="5" t="s">
        <v>208</v>
      </c>
      <c r="C76" s="5" t="s">
        <v>133</v>
      </c>
    </row>
    <row r="77" spans="1:3">
      <c r="A77" s="5" t="s">
        <v>198</v>
      </c>
      <c r="B77" s="5" t="s">
        <v>209</v>
      </c>
      <c r="C77" s="5" t="s">
        <v>133</v>
      </c>
    </row>
    <row r="78" spans="1:3">
      <c r="A78" s="5" t="s">
        <v>198</v>
      </c>
      <c r="B78" s="5" t="s">
        <v>210</v>
      </c>
      <c r="C78" s="5" t="s">
        <v>133</v>
      </c>
    </row>
    <row r="79" spans="1:3">
      <c r="A79" s="5" t="s">
        <v>211</v>
      </c>
      <c r="B79" s="5" t="s">
        <v>148</v>
      </c>
      <c r="C79" s="5" t="s">
        <v>133</v>
      </c>
    </row>
    <row r="80" spans="1:3">
      <c r="A80" s="5" t="s">
        <v>211</v>
      </c>
      <c r="B80" s="5" t="s">
        <v>149</v>
      </c>
      <c r="C80" s="5" t="s">
        <v>133</v>
      </c>
    </row>
    <row r="81" spans="1:3">
      <c r="A81" s="5" t="s">
        <v>211</v>
      </c>
      <c r="B81" s="5" t="s">
        <v>212</v>
      </c>
      <c r="C81" s="5" t="s">
        <v>133</v>
      </c>
    </row>
    <row r="82" spans="1:3">
      <c r="A82" s="5" t="s">
        <v>211</v>
      </c>
      <c r="B82" s="5" t="s">
        <v>213</v>
      </c>
      <c r="C82" s="5" t="s">
        <v>133</v>
      </c>
    </row>
    <row r="83" spans="1:3">
      <c r="A83" s="5" t="s">
        <v>211</v>
      </c>
      <c r="B83" s="5" t="s">
        <v>214</v>
      </c>
      <c r="C83" s="5" t="s">
        <v>133</v>
      </c>
    </row>
    <row r="84" spans="1:3">
      <c r="A84" s="5" t="s">
        <v>215</v>
      </c>
      <c r="B84" s="5" t="s">
        <v>147</v>
      </c>
      <c r="C84" s="5" t="s">
        <v>133</v>
      </c>
    </row>
    <row r="85" spans="1:3">
      <c r="A85" s="5" t="s">
        <v>215</v>
      </c>
      <c r="B85" s="5" t="s">
        <v>216</v>
      </c>
      <c r="C85" s="5" t="s">
        <v>133</v>
      </c>
    </row>
    <row r="86" spans="1:3">
      <c r="A86" s="5" t="s">
        <v>215</v>
      </c>
      <c r="B86" s="5" t="s">
        <v>156</v>
      </c>
      <c r="C86" s="5" t="s">
        <v>133</v>
      </c>
    </row>
    <row r="87" spans="1:3">
      <c r="A87" s="5" t="s">
        <v>215</v>
      </c>
      <c r="B87" s="5" t="s">
        <v>152</v>
      </c>
      <c r="C87" s="5" t="s">
        <v>133</v>
      </c>
    </row>
    <row r="88" spans="1:3">
      <c r="A88" s="5" t="s">
        <v>215</v>
      </c>
      <c r="B88" s="5" t="s">
        <v>153</v>
      </c>
      <c r="C88" s="5" t="s">
        <v>133</v>
      </c>
    </row>
    <row r="89" spans="1:3">
      <c r="A89" s="5" t="s">
        <v>215</v>
      </c>
      <c r="B89" s="5" t="s">
        <v>154</v>
      </c>
      <c r="C89" s="5" t="s">
        <v>133</v>
      </c>
    </row>
    <row r="90" spans="1:3">
      <c r="A90" s="5" t="s">
        <v>215</v>
      </c>
      <c r="B90" s="5" t="s">
        <v>217</v>
      </c>
      <c r="C90" s="5" t="s">
        <v>133</v>
      </c>
    </row>
    <row r="91" spans="1:3">
      <c r="A91" s="5" t="s">
        <v>215</v>
      </c>
      <c r="B91" s="5" t="s">
        <v>218</v>
      </c>
      <c r="C91" s="5" t="s">
        <v>133</v>
      </c>
    </row>
    <row r="92" spans="1:3">
      <c r="A92" s="5" t="s">
        <v>215</v>
      </c>
      <c r="B92" s="5" t="s">
        <v>219</v>
      </c>
      <c r="C92" s="5" t="s">
        <v>133</v>
      </c>
    </row>
    <row r="93" spans="1:3">
      <c r="A93" s="5" t="s">
        <v>215</v>
      </c>
      <c r="B93" s="5" t="s">
        <v>220</v>
      </c>
      <c r="C93" s="5" t="s">
        <v>133</v>
      </c>
    </row>
    <row r="94" spans="1:3">
      <c r="A94" s="5" t="s">
        <v>215</v>
      </c>
      <c r="B94" s="5" t="s">
        <v>221</v>
      </c>
      <c r="C94" s="5" t="s">
        <v>133</v>
      </c>
    </row>
    <row r="95" spans="1:3">
      <c r="A95" s="5" t="s">
        <v>215</v>
      </c>
      <c r="B95" s="5" t="s">
        <v>197</v>
      </c>
      <c r="C95" s="5" t="s">
        <v>133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37" sqref="A37"/>
    </sheetView>
  </sheetViews>
  <sheetFormatPr baseColWidth="10" defaultColWidth="8.796875" defaultRowHeight="13.8"/>
  <cols>
    <col min="1" max="1" width="24" customWidth="1"/>
    <col min="2" max="2" width="30" customWidth="1"/>
    <col min="3" max="3" width="86" customWidth="1"/>
    <col min="4" max="4" width="50" customWidth="1"/>
    <col min="5" max="5" width="22" customWidth="1"/>
  </cols>
  <sheetData>
    <row r="1" spans="1:5" ht="22.35" customHeight="1">
      <c r="A1" s="8" t="s">
        <v>222</v>
      </c>
      <c r="B1" s="8"/>
      <c r="C1" s="8"/>
      <c r="D1" s="8"/>
      <c r="E1" s="8"/>
    </row>
    <row r="2" spans="1:5" ht="27.15" customHeight="1">
      <c r="A2" s="9" t="s">
        <v>223</v>
      </c>
      <c r="B2" s="9"/>
      <c r="C2" s="9"/>
      <c r="D2" s="9"/>
      <c r="E2" s="9"/>
    </row>
    <row r="4" spans="1:5" ht="22.35" customHeight="1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</row>
    <row r="5" spans="1:5">
      <c r="A5" s="5" t="s">
        <v>229</v>
      </c>
      <c r="B5" s="5" t="s">
        <v>230</v>
      </c>
      <c r="C5" s="5" t="s">
        <v>231</v>
      </c>
      <c r="D5" s="5"/>
      <c r="E5" s="5"/>
    </row>
    <row r="6" spans="1:5">
      <c r="A6" s="5" t="s">
        <v>229</v>
      </c>
      <c r="B6" s="5" t="s">
        <v>232</v>
      </c>
      <c r="C6" s="5" t="s">
        <v>233</v>
      </c>
      <c r="D6" s="5"/>
      <c r="E6" s="5"/>
    </row>
    <row r="7" spans="1:5">
      <c r="A7" s="5" t="s">
        <v>229</v>
      </c>
      <c r="B7" s="5" t="s">
        <v>234</v>
      </c>
      <c r="C7" s="5" t="s">
        <v>235</v>
      </c>
      <c r="D7" s="5"/>
      <c r="E7" s="5"/>
    </row>
    <row r="8" spans="1:5">
      <c r="A8" s="5" t="s">
        <v>229</v>
      </c>
      <c r="B8" s="5" t="s">
        <v>236</v>
      </c>
      <c r="C8" s="5" t="s">
        <v>237</v>
      </c>
      <c r="D8" s="5"/>
      <c r="E8" s="5"/>
    </row>
    <row r="9" spans="1:5">
      <c r="A9" s="5" t="s">
        <v>229</v>
      </c>
      <c r="B9" s="5" t="s">
        <v>238</v>
      </c>
      <c r="C9" s="5" t="s">
        <v>239</v>
      </c>
      <c r="D9" s="5"/>
      <c r="E9" s="5"/>
    </row>
    <row r="10" spans="1:5">
      <c r="A10" s="5" t="s">
        <v>229</v>
      </c>
      <c r="B10" s="5" t="s">
        <v>240</v>
      </c>
      <c r="C10" s="5" t="s">
        <v>241</v>
      </c>
      <c r="D10" s="5"/>
      <c r="E10" s="5"/>
    </row>
    <row r="11" spans="1:5">
      <c r="A11" s="5" t="s">
        <v>229</v>
      </c>
      <c r="B11" s="5" t="s">
        <v>242</v>
      </c>
      <c r="C11" s="5" t="s">
        <v>243</v>
      </c>
      <c r="D11" s="5"/>
      <c r="E11" s="5"/>
    </row>
    <row r="12" spans="1:5">
      <c r="A12" s="5" t="s">
        <v>229</v>
      </c>
      <c r="B12" s="5" t="s">
        <v>244</v>
      </c>
      <c r="C12" s="5" t="s">
        <v>245</v>
      </c>
      <c r="D12" s="5"/>
      <c r="E12" s="5"/>
    </row>
    <row r="13" spans="1:5">
      <c r="A13" s="5" t="s">
        <v>229</v>
      </c>
      <c r="B13" s="5" t="s">
        <v>246</v>
      </c>
      <c r="C13" s="5" t="s">
        <v>247</v>
      </c>
      <c r="D13" s="5"/>
      <c r="E13" s="5"/>
    </row>
    <row r="14" spans="1:5">
      <c r="A14" s="5" t="s">
        <v>229</v>
      </c>
      <c r="B14" s="5" t="s">
        <v>248</v>
      </c>
      <c r="C14" s="5" t="s">
        <v>249</v>
      </c>
      <c r="D14" s="5"/>
      <c r="E14" s="5"/>
    </row>
    <row r="15" spans="1:5">
      <c r="A15" s="5" t="s">
        <v>229</v>
      </c>
      <c r="B15" s="5" t="s">
        <v>250</v>
      </c>
      <c r="C15" s="5" t="s">
        <v>251</v>
      </c>
      <c r="D15" s="5"/>
      <c r="E15" s="5"/>
    </row>
    <row r="16" spans="1:5">
      <c r="A16" s="5" t="s">
        <v>252</v>
      </c>
      <c r="B16" s="5" t="s">
        <v>253</v>
      </c>
      <c r="C16" s="5" t="s">
        <v>254</v>
      </c>
      <c r="D16" s="5"/>
      <c r="E16" s="5"/>
    </row>
    <row r="17" spans="1:5">
      <c r="A17" s="5" t="s">
        <v>252</v>
      </c>
      <c r="B17" s="5" t="s">
        <v>255</v>
      </c>
      <c r="C17" s="5" t="s">
        <v>256</v>
      </c>
      <c r="D17" s="5"/>
      <c r="E17" s="5"/>
    </row>
    <row r="18" spans="1:5">
      <c r="A18" s="5" t="s">
        <v>252</v>
      </c>
      <c r="B18" s="5" t="s">
        <v>257</v>
      </c>
      <c r="C18" s="5" t="s">
        <v>258</v>
      </c>
      <c r="D18" s="5"/>
      <c r="E18" s="5"/>
    </row>
    <row r="19" spans="1:5">
      <c r="A19" s="5" t="s">
        <v>252</v>
      </c>
      <c r="B19" s="5" t="s">
        <v>259</v>
      </c>
      <c r="C19" s="5" t="s">
        <v>260</v>
      </c>
      <c r="D19" s="5"/>
      <c r="E19" s="5"/>
    </row>
    <row r="20" spans="1:5">
      <c r="A20" s="5" t="s">
        <v>252</v>
      </c>
      <c r="B20" s="5" t="s">
        <v>261</v>
      </c>
      <c r="C20" s="5" t="s">
        <v>262</v>
      </c>
      <c r="D20" s="5"/>
      <c r="E20" s="5"/>
    </row>
    <row r="21" spans="1:5">
      <c r="A21" s="5" t="s">
        <v>252</v>
      </c>
      <c r="B21" s="5" t="s">
        <v>263</v>
      </c>
      <c r="C21" s="5" t="s">
        <v>264</v>
      </c>
      <c r="D21" s="5"/>
      <c r="E21" s="5"/>
    </row>
    <row r="22" spans="1:5">
      <c r="A22" s="5" t="s">
        <v>252</v>
      </c>
      <c r="B22" s="5" t="s">
        <v>265</v>
      </c>
      <c r="C22" s="5" t="s">
        <v>266</v>
      </c>
      <c r="D22" s="5"/>
      <c r="E22" s="5"/>
    </row>
    <row r="23" spans="1:5">
      <c r="A23" s="5" t="s">
        <v>252</v>
      </c>
      <c r="B23" s="5" t="s">
        <v>267</v>
      </c>
      <c r="C23" s="5" t="s">
        <v>268</v>
      </c>
      <c r="D23" s="5"/>
      <c r="E23" s="5"/>
    </row>
    <row r="24" spans="1:5">
      <c r="A24" s="5" t="s">
        <v>252</v>
      </c>
      <c r="B24" s="5" t="s">
        <v>269</v>
      </c>
      <c r="C24" s="5" t="s">
        <v>270</v>
      </c>
      <c r="D24" s="5"/>
      <c r="E24" s="5"/>
    </row>
    <row r="25" spans="1:5">
      <c r="A25" s="5" t="s">
        <v>252</v>
      </c>
      <c r="B25" s="5" t="s">
        <v>271</v>
      </c>
      <c r="C25" s="5" t="s">
        <v>272</v>
      </c>
      <c r="D25" s="5"/>
      <c r="E25" s="5"/>
    </row>
    <row r="26" spans="1:5">
      <c r="A26" s="5" t="s">
        <v>252</v>
      </c>
      <c r="B26" s="5" t="s">
        <v>273</v>
      </c>
      <c r="C26" s="5" t="s">
        <v>274</v>
      </c>
      <c r="D26" s="5"/>
      <c r="E26" s="5"/>
    </row>
    <row r="27" spans="1:5">
      <c r="A27" s="5" t="s">
        <v>252</v>
      </c>
      <c r="B27" s="5" t="s">
        <v>275</v>
      </c>
      <c r="C27" s="5" t="s">
        <v>276</v>
      </c>
      <c r="D27" s="5"/>
      <c r="E27" s="5"/>
    </row>
    <row r="28" spans="1:5">
      <c r="A28" s="5" t="s">
        <v>252</v>
      </c>
      <c r="B28" s="5" t="s">
        <v>277</v>
      </c>
      <c r="C28" s="5" t="s">
        <v>278</v>
      </c>
      <c r="D28" s="5"/>
      <c r="E28" s="5"/>
    </row>
    <row r="29" spans="1:5">
      <c r="A29" s="5" t="s">
        <v>252</v>
      </c>
      <c r="B29" s="5" t="s">
        <v>279</v>
      </c>
      <c r="C29" s="5" t="s">
        <v>280</v>
      </c>
      <c r="D29" s="5"/>
      <c r="E29" s="5"/>
    </row>
    <row r="30" spans="1:5">
      <c r="A30" s="5" t="s">
        <v>252</v>
      </c>
      <c r="B30" s="5" t="s">
        <v>281</v>
      </c>
      <c r="C30" s="5" t="s">
        <v>282</v>
      </c>
      <c r="D30" s="5"/>
      <c r="E30" s="5"/>
    </row>
    <row r="31" spans="1:5">
      <c r="A31" s="5" t="s">
        <v>252</v>
      </c>
      <c r="B31" s="5" t="s">
        <v>283</v>
      </c>
      <c r="C31" s="5" t="s">
        <v>284</v>
      </c>
      <c r="D31" s="5"/>
      <c r="E31" s="5"/>
    </row>
    <row r="32" spans="1:5">
      <c r="A32" s="5" t="s">
        <v>285</v>
      </c>
      <c r="B32" s="5" t="s">
        <v>286</v>
      </c>
      <c r="C32" s="5" t="s">
        <v>287</v>
      </c>
      <c r="D32" s="5" t="s">
        <v>288</v>
      </c>
      <c r="E32" s="5"/>
    </row>
    <row r="33" spans="1:5">
      <c r="A33" s="5" t="s">
        <v>285</v>
      </c>
      <c r="B33" s="5" t="s">
        <v>289</v>
      </c>
      <c r="C33" s="5" t="s">
        <v>290</v>
      </c>
      <c r="D33" s="5" t="s">
        <v>291</v>
      </c>
      <c r="E33" s="5"/>
    </row>
    <row r="34" spans="1:5" ht="27.6">
      <c r="A34" s="5" t="s">
        <v>285</v>
      </c>
      <c r="B34" s="5" t="s">
        <v>292</v>
      </c>
      <c r="C34" s="5" t="s">
        <v>293</v>
      </c>
      <c r="D34" s="5" t="s">
        <v>294</v>
      </c>
      <c r="E34" s="5"/>
    </row>
    <row r="35" spans="1:5">
      <c r="A35" s="5" t="s">
        <v>285</v>
      </c>
      <c r="B35" s="5" t="s">
        <v>295</v>
      </c>
      <c r="C35" s="5" t="s">
        <v>296</v>
      </c>
      <c r="D35" s="5" t="s">
        <v>297</v>
      </c>
      <c r="E35" s="5"/>
    </row>
    <row r="36" spans="1:5" ht="27.6">
      <c r="A36" s="5" t="s">
        <v>285</v>
      </c>
      <c r="B36" s="5" t="s">
        <v>298</v>
      </c>
      <c r="C36" s="5" t="s">
        <v>299</v>
      </c>
      <c r="D36" s="5" t="s">
        <v>300</v>
      </c>
      <c r="E36" s="5"/>
    </row>
    <row r="37" spans="1:5">
      <c r="A37" s="5" t="s">
        <v>285</v>
      </c>
      <c r="B37" s="5" t="s">
        <v>301</v>
      </c>
      <c r="C37" s="5" t="s">
        <v>302</v>
      </c>
      <c r="D37" s="5" t="s">
        <v>303</v>
      </c>
      <c r="E37" s="5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workbookViewId="0">
      <selection activeCell="T3" sqref="T1:T1048576"/>
    </sheetView>
  </sheetViews>
  <sheetFormatPr baseColWidth="10" defaultColWidth="8.796875" defaultRowHeight="13.8"/>
  <cols>
    <col min="1" max="1" width="10" customWidth="1"/>
    <col min="2" max="2" width="36" customWidth="1"/>
    <col min="3" max="3" width="24" customWidth="1"/>
    <col min="4" max="4" width="52" customWidth="1"/>
    <col min="5" max="5" width="44" customWidth="1"/>
    <col min="6" max="6" width="52" customWidth="1"/>
    <col min="7" max="8" width="46" customWidth="1"/>
    <col min="9" max="10" width="55" customWidth="1"/>
    <col min="11" max="11" width="40" customWidth="1"/>
    <col min="12" max="12" width="38" customWidth="1"/>
    <col min="13" max="15" width="42" customWidth="1"/>
    <col min="16" max="16" width="48" customWidth="1"/>
    <col min="17" max="17" width="34" customWidth="1"/>
    <col min="18" max="19" width="50" customWidth="1"/>
    <col min="20" max="20" width="32" customWidth="1"/>
  </cols>
  <sheetData>
    <row r="1" spans="1:20" ht="22.35" customHeight="1">
      <c r="A1" s="8" t="s">
        <v>304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7.15" customHeight="1">
      <c r="A2" s="9" t="s">
        <v>305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4" spans="1:20" ht="22.35" customHeight="1">
      <c r="A4" s="4" t="s">
        <v>65</v>
      </c>
      <c r="B4" s="4" t="s">
        <v>306</v>
      </c>
      <c r="C4" s="4" t="s">
        <v>8</v>
      </c>
      <c r="D4" s="4" t="s">
        <v>263</v>
      </c>
      <c r="E4" s="4" t="s">
        <v>307</v>
      </c>
      <c r="F4" s="4" t="s">
        <v>308</v>
      </c>
      <c r="G4" s="4" t="s">
        <v>309</v>
      </c>
      <c r="H4" s="4" t="s">
        <v>310</v>
      </c>
      <c r="I4" s="4" t="s">
        <v>311</v>
      </c>
      <c r="J4" s="4" t="s">
        <v>312</v>
      </c>
      <c r="K4" s="4" t="s">
        <v>313</v>
      </c>
      <c r="L4" s="4" t="s">
        <v>314</v>
      </c>
      <c r="M4" s="4" t="s">
        <v>315</v>
      </c>
      <c r="N4" s="4" t="s">
        <v>316</v>
      </c>
      <c r="O4" s="4" t="s">
        <v>317</v>
      </c>
      <c r="P4" s="4" t="s">
        <v>318</v>
      </c>
      <c r="Q4" s="4" t="s">
        <v>319</v>
      </c>
      <c r="R4" s="4" t="s">
        <v>320</v>
      </c>
      <c r="S4" s="4" t="s">
        <v>321</v>
      </c>
      <c r="T4" s="4" t="s">
        <v>224</v>
      </c>
    </row>
    <row r="5" spans="1:20" ht="41.4">
      <c r="A5" s="5" t="s">
        <v>322</v>
      </c>
      <c r="B5" s="5" t="s">
        <v>323</v>
      </c>
      <c r="C5" s="5" t="s">
        <v>29</v>
      </c>
      <c r="D5" s="5" t="s">
        <v>324</v>
      </c>
      <c r="E5" s="5" t="s">
        <v>325</v>
      </c>
      <c r="F5" s="5" t="s">
        <v>326</v>
      </c>
      <c r="G5" s="5" t="s">
        <v>327</v>
      </c>
      <c r="H5" s="5" t="s">
        <v>328</v>
      </c>
      <c r="I5" s="5" t="s">
        <v>329</v>
      </c>
      <c r="J5" s="5" t="s">
        <v>330</v>
      </c>
      <c r="K5" s="5" t="s">
        <v>331</v>
      </c>
      <c r="L5" s="5" t="s">
        <v>332</v>
      </c>
      <c r="M5" s="5" t="s">
        <v>333</v>
      </c>
      <c r="N5" s="5" t="s">
        <v>334</v>
      </c>
      <c r="O5" s="5" t="s">
        <v>335</v>
      </c>
      <c r="P5" s="5" t="s">
        <v>336</v>
      </c>
      <c r="Q5" s="5" t="s">
        <v>337</v>
      </c>
      <c r="R5" s="5" t="s">
        <v>338</v>
      </c>
      <c r="S5" s="5" t="s">
        <v>339</v>
      </c>
      <c r="T5" s="5" t="s">
        <v>340</v>
      </c>
    </row>
    <row r="6" spans="1:20" ht="41.4">
      <c r="A6" s="5" t="s">
        <v>341</v>
      </c>
      <c r="B6" s="5" t="s">
        <v>342</v>
      </c>
      <c r="C6" s="5" t="s">
        <v>29</v>
      </c>
      <c r="D6" s="5" t="s">
        <v>343</v>
      </c>
      <c r="E6" s="5" t="s">
        <v>344</v>
      </c>
      <c r="F6" s="5" t="s">
        <v>345</v>
      </c>
      <c r="G6" s="5" t="s">
        <v>346</v>
      </c>
      <c r="H6" s="5" t="s">
        <v>347</v>
      </c>
      <c r="I6" s="5" t="s">
        <v>348</v>
      </c>
      <c r="J6" s="5" t="s">
        <v>349</v>
      </c>
      <c r="K6" s="5" t="s">
        <v>350</v>
      </c>
      <c r="L6" s="5" t="s">
        <v>332</v>
      </c>
      <c r="M6" s="5" t="s">
        <v>333</v>
      </c>
      <c r="N6" s="5" t="s">
        <v>351</v>
      </c>
      <c r="O6" s="5" t="s">
        <v>352</v>
      </c>
      <c r="P6" s="5" t="s">
        <v>353</v>
      </c>
      <c r="Q6" s="5" t="s">
        <v>354</v>
      </c>
      <c r="R6" s="5" t="s">
        <v>338</v>
      </c>
      <c r="S6" s="5" t="s">
        <v>339</v>
      </c>
      <c r="T6" s="5" t="s">
        <v>340</v>
      </c>
    </row>
    <row r="7" spans="1:20" ht="41.4">
      <c r="A7" s="5" t="s">
        <v>355</v>
      </c>
      <c r="B7" s="5" t="s">
        <v>356</v>
      </c>
      <c r="C7" s="5" t="s">
        <v>29</v>
      </c>
      <c r="D7" s="5" t="s">
        <v>357</v>
      </c>
      <c r="E7" s="5" t="s">
        <v>358</v>
      </c>
      <c r="F7" s="5" t="s">
        <v>359</v>
      </c>
      <c r="G7" s="5" t="s">
        <v>360</v>
      </c>
      <c r="H7" s="5" t="s">
        <v>361</v>
      </c>
      <c r="I7" s="5" t="s">
        <v>362</v>
      </c>
      <c r="J7" s="5" t="s">
        <v>363</v>
      </c>
      <c r="K7" s="5" t="s">
        <v>364</v>
      </c>
      <c r="L7" s="5" t="s">
        <v>332</v>
      </c>
      <c r="M7" s="5" t="s">
        <v>333</v>
      </c>
      <c r="N7" s="5" t="s">
        <v>365</v>
      </c>
      <c r="O7" s="5" t="s">
        <v>366</v>
      </c>
      <c r="P7" s="5" t="s">
        <v>367</v>
      </c>
      <c r="Q7" s="5" t="s">
        <v>368</v>
      </c>
      <c r="R7" s="5" t="s">
        <v>338</v>
      </c>
      <c r="S7" s="5" t="s">
        <v>339</v>
      </c>
      <c r="T7" s="5" t="s">
        <v>340</v>
      </c>
    </row>
    <row r="8" spans="1:20" ht="41.4">
      <c r="A8" s="5" t="s">
        <v>369</v>
      </c>
      <c r="B8" s="5" t="s">
        <v>370</v>
      </c>
      <c r="C8" s="5" t="s">
        <v>29</v>
      </c>
      <c r="D8" s="5" t="s">
        <v>371</v>
      </c>
      <c r="E8" s="5" t="s">
        <v>372</v>
      </c>
      <c r="F8" s="5" t="s">
        <v>373</v>
      </c>
      <c r="G8" s="5" t="s">
        <v>374</v>
      </c>
      <c r="H8" s="5" t="s">
        <v>375</v>
      </c>
      <c r="I8" s="5" t="s">
        <v>376</v>
      </c>
      <c r="J8" s="5" t="s">
        <v>377</v>
      </c>
      <c r="K8" s="5" t="s">
        <v>378</v>
      </c>
      <c r="L8" s="5" t="s">
        <v>332</v>
      </c>
      <c r="M8" s="5" t="s">
        <v>333</v>
      </c>
      <c r="N8" s="5" t="s">
        <v>379</v>
      </c>
      <c r="O8" s="5" t="s">
        <v>380</v>
      </c>
      <c r="P8" s="5" t="s">
        <v>381</v>
      </c>
      <c r="Q8" s="5" t="s">
        <v>382</v>
      </c>
      <c r="R8" s="5" t="s">
        <v>338</v>
      </c>
      <c r="S8" s="5" t="s">
        <v>339</v>
      </c>
      <c r="T8" s="5" t="s">
        <v>340</v>
      </c>
    </row>
    <row r="9" spans="1:20" ht="41.4">
      <c r="A9" s="5" t="s">
        <v>383</v>
      </c>
      <c r="B9" s="5" t="s">
        <v>384</v>
      </c>
      <c r="C9" s="5" t="s">
        <v>29</v>
      </c>
      <c r="D9" s="5" t="s">
        <v>385</v>
      </c>
      <c r="E9" s="5" t="s">
        <v>386</v>
      </c>
      <c r="F9" s="5" t="s">
        <v>387</v>
      </c>
      <c r="G9" s="5" t="s">
        <v>388</v>
      </c>
      <c r="H9" s="5" t="s">
        <v>389</v>
      </c>
      <c r="I9" s="5" t="s">
        <v>390</v>
      </c>
      <c r="J9" s="5" t="s">
        <v>391</v>
      </c>
      <c r="K9" s="5" t="s">
        <v>392</v>
      </c>
      <c r="L9" s="5" t="s">
        <v>332</v>
      </c>
      <c r="M9" s="5" t="s">
        <v>333</v>
      </c>
      <c r="N9" s="5" t="s">
        <v>393</v>
      </c>
      <c r="O9" s="5" t="s">
        <v>394</v>
      </c>
      <c r="P9" s="5" t="s">
        <v>395</v>
      </c>
      <c r="Q9" s="5" t="s">
        <v>396</v>
      </c>
      <c r="R9" s="5" t="s">
        <v>338</v>
      </c>
      <c r="S9" s="5" t="s">
        <v>339</v>
      </c>
      <c r="T9" s="5" t="s">
        <v>340</v>
      </c>
    </row>
    <row r="10" spans="1:20" ht="41.4">
      <c r="A10" s="5" t="s">
        <v>397</v>
      </c>
      <c r="B10" s="5" t="s">
        <v>398</v>
      </c>
      <c r="C10" s="5" t="s">
        <v>29</v>
      </c>
      <c r="D10" s="5" t="s">
        <v>399</v>
      </c>
      <c r="E10" s="5" t="s">
        <v>400</v>
      </c>
      <c r="F10" s="5" t="s">
        <v>401</v>
      </c>
      <c r="G10" s="5" t="s">
        <v>402</v>
      </c>
      <c r="H10" s="5" t="s">
        <v>403</v>
      </c>
      <c r="I10" s="5" t="s">
        <v>404</v>
      </c>
      <c r="J10" s="5" t="s">
        <v>405</v>
      </c>
      <c r="K10" s="5" t="s">
        <v>406</v>
      </c>
      <c r="L10" s="5" t="s">
        <v>332</v>
      </c>
      <c r="M10" s="5" t="s">
        <v>333</v>
      </c>
      <c r="N10" s="5" t="s">
        <v>407</v>
      </c>
      <c r="O10" s="5" t="s">
        <v>408</v>
      </c>
      <c r="P10" s="5" t="s">
        <v>409</v>
      </c>
      <c r="Q10" s="5" t="s">
        <v>410</v>
      </c>
      <c r="R10" s="5" t="s">
        <v>338</v>
      </c>
      <c r="S10" s="5" t="s">
        <v>339</v>
      </c>
      <c r="T10" s="5" t="s">
        <v>340</v>
      </c>
    </row>
    <row r="11" spans="1:20" ht="41.4">
      <c r="A11" s="5" t="s">
        <v>411</v>
      </c>
      <c r="B11" s="5" t="s">
        <v>412</v>
      </c>
      <c r="C11" s="5" t="s">
        <v>29</v>
      </c>
      <c r="D11" s="5" t="s">
        <v>413</v>
      </c>
      <c r="E11" s="5" t="s">
        <v>414</v>
      </c>
      <c r="F11" s="5" t="s">
        <v>415</v>
      </c>
      <c r="G11" s="5" t="s">
        <v>416</v>
      </c>
      <c r="H11" s="5" t="s">
        <v>417</v>
      </c>
      <c r="I11" s="5" t="s">
        <v>418</v>
      </c>
      <c r="J11" s="5" t="s">
        <v>419</v>
      </c>
      <c r="K11" s="5" t="s">
        <v>420</v>
      </c>
      <c r="L11" s="5" t="s">
        <v>332</v>
      </c>
      <c r="M11" s="5" t="s">
        <v>333</v>
      </c>
      <c r="N11" s="5" t="s">
        <v>421</v>
      </c>
      <c r="O11" s="5" t="s">
        <v>422</v>
      </c>
      <c r="P11" s="5" t="s">
        <v>423</v>
      </c>
      <c r="Q11" s="5" t="s">
        <v>424</v>
      </c>
      <c r="R11" s="5" t="s">
        <v>338</v>
      </c>
      <c r="S11" s="5" t="s">
        <v>339</v>
      </c>
      <c r="T11" s="5" t="s">
        <v>340</v>
      </c>
    </row>
    <row r="12" spans="1:20" ht="41.4">
      <c r="A12" s="5" t="s">
        <v>425</v>
      </c>
      <c r="B12" s="5" t="s">
        <v>426</v>
      </c>
      <c r="C12" s="5" t="s">
        <v>29</v>
      </c>
      <c r="D12" s="5" t="s">
        <v>427</v>
      </c>
      <c r="E12" s="5" t="s">
        <v>428</v>
      </c>
      <c r="F12" s="5" t="s">
        <v>429</v>
      </c>
      <c r="G12" s="5" t="s">
        <v>430</v>
      </c>
      <c r="H12" s="5" t="s">
        <v>431</v>
      </c>
      <c r="I12" s="5" t="s">
        <v>432</v>
      </c>
      <c r="J12" s="5" t="s">
        <v>433</v>
      </c>
      <c r="K12" s="5" t="s">
        <v>434</v>
      </c>
      <c r="L12" s="5" t="s">
        <v>332</v>
      </c>
      <c r="M12" s="5" t="s">
        <v>333</v>
      </c>
      <c r="N12" s="5" t="s">
        <v>435</v>
      </c>
      <c r="O12" s="5" t="s">
        <v>436</v>
      </c>
      <c r="P12" s="5" t="s">
        <v>437</v>
      </c>
      <c r="Q12" s="5" t="s">
        <v>438</v>
      </c>
      <c r="R12" s="5" t="s">
        <v>338</v>
      </c>
      <c r="S12" s="5" t="s">
        <v>339</v>
      </c>
      <c r="T12" s="5" t="s">
        <v>340</v>
      </c>
    </row>
    <row r="13" spans="1:20" ht="41.4">
      <c r="A13" s="5" t="s">
        <v>439</v>
      </c>
      <c r="B13" s="5" t="s">
        <v>440</v>
      </c>
      <c r="C13" s="5" t="s">
        <v>29</v>
      </c>
      <c r="D13" s="5" t="s">
        <v>441</v>
      </c>
      <c r="E13" s="5" t="s">
        <v>442</v>
      </c>
      <c r="F13" s="5" t="s">
        <v>443</v>
      </c>
      <c r="G13" s="5" t="s">
        <v>444</v>
      </c>
      <c r="H13" s="5" t="s">
        <v>445</v>
      </c>
      <c r="I13" s="5" t="s">
        <v>446</v>
      </c>
      <c r="J13" s="5" t="s">
        <v>447</v>
      </c>
      <c r="K13" s="5" t="s">
        <v>448</v>
      </c>
      <c r="L13" s="5" t="s">
        <v>332</v>
      </c>
      <c r="M13" s="5" t="s">
        <v>333</v>
      </c>
      <c r="N13" s="5" t="s">
        <v>449</v>
      </c>
      <c r="O13" s="5" t="s">
        <v>450</v>
      </c>
      <c r="P13" s="5" t="s">
        <v>451</v>
      </c>
      <c r="Q13" s="5" t="s">
        <v>452</v>
      </c>
      <c r="R13" s="5" t="s">
        <v>338</v>
      </c>
      <c r="S13" s="5" t="s">
        <v>339</v>
      </c>
      <c r="T13" s="5" t="s">
        <v>340</v>
      </c>
    </row>
    <row r="14" spans="1:20" ht="41.4">
      <c r="A14" s="5" t="s">
        <v>453</v>
      </c>
      <c r="B14" s="5" t="s">
        <v>104</v>
      </c>
      <c r="C14" s="5" t="s">
        <v>29</v>
      </c>
      <c r="D14" s="5" t="s">
        <v>454</v>
      </c>
      <c r="E14" s="5" t="s">
        <v>455</v>
      </c>
      <c r="F14" s="5" t="s">
        <v>456</v>
      </c>
      <c r="G14" s="5" t="s">
        <v>457</v>
      </c>
      <c r="H14" s="5" t="s">
        <v>458</v>
      </c>
      <c r="I14" s="5" t="s">
        <v>459</v>
      </c>
      <c r="J14" s="5" t="s">
        <v>460</v>
      </c>
      <c r="K14" s="5" t="s">
        <v>461</v>
      </c>
      <c r="L14" s="5" t="s">
        <v>332</v>
      </c>
      <c r="M14" s="5" t="s">
        <v>333</v>
      </c>
      <c r="N14" s="5" t="s">
        <v>462</v>
      </c>
      <c r="O14" s="5" t="s">
        <v>463</v>
      </c>
      <c r="P14" s="5" t="s">
        <v>464</v>
      </c>
      <c r="Q14" s="5" t="s">
        <v>465</v>
      </c>
      <c r="R14" s="5" t="s">
        <v>338</v>
      </c>
      <c r="S14" s="5" t="s">
        <v>339</v>
      </c>
      <c r="T14" s="5" t="s">
        <v>340</v>
      </c>
    </row>
    <row r="15" spans="1:20" ht="41.4">
      <c r="A15" s="5" t="s">
        <v>466</v>
      </c>
      <c r="B15" s="5" t="s">
        <v>467</v>
      </c>
      <c r="C15" s="5" t="s">
        <v>29</v>
      </c>
      <c r="D15" s="5" t="s">
        <v>468</v>
      </c>
      <c r="E15" s="5" t="s">
        <v>469</v>
      </c>
      <c r="F15" s="5" t="s">
        <v>470</v>
      </c>
      <c r="G15" s="5" t="s">
        <v>471</v>
      </c>
      <c r="H15" s="5" t="s">
        <v>472</v>
      </c>
      <c r="I15" s="5" t="s">
        <v>473</v>
      </c>
      <c r="J15" s="5" t="s">
        <v>474</v>
      </c>
      <c r="K15" s="5" t="s">
        <v>475</v>
      </c>
      <c r="L15" s="5" t="s">
        <v>332</v>
      </c>
      <c r="M15" s="5" t="s">
        <v>333</v>
      </c>
      <c r="N15" s="5" t="s">
        <v>476</v>
      </c>
      <c r="O15" s="5" t="s">
        <v>477</v>
      </c>
      <c r="P15" s="5" t="s">
        <v>478</v>
      </c>
      <c r="Q15" s="5" t="s">
        <v>479</v>
      </c>
      <c r="R15" s="5" t="s">
        <v>338</v>
      </c>
      <c r="S15" s="5" t="s">
        <v>339</v>
      </c>
      <c r="T15" s="5" t="s">
        <v>340</v>
      </c>
    </row>
    <row r="16" spans="1:20" ht="41.4">
      <c r="A16" s="5" t="s">
        <v>480</v>
      </c>
      <c r="B16" s="5" t="s">
        <v>185</v>
      </c>
      <c r="C16" s="5" t="s">
        <v>29</v>
      </c>
      <c r="D16" s="5" t="s">
        <v>481</v>
      </c>
      <c r="E16" s="5" t="s">
        <v>482</v>
      </c>
      <c r="F16" s="5" t="s">
        <v>483</v>
      </c>
      <c r="G16" s="5" t="s">
        <v>484</v>
      </c>
      <c r="H16" s="5" t="s">
        <v>485</v>
      </c>
      <c r="I16" s="5" t="s">
        <v>486</v>
      </c>
      <c r="J16" s="5" t="s">
        <v>487</v>
      </c>
      <c r="K16" s="5" t="s">
        <v>488</v>
      </c>
      <c r="L16" s="5" t="s">
        <v>332</v>
      </c>
      <c r="M16" s="5" t="s">
        <v>333</v>
      </c>
      <c r="N16" s="5" t="s">
        <v>489</v>
      </c>
      <c r="O16" s="5" t="s">
        <v>490</v>
      </c>
      <c r="P16" s="5" t="s">
        <v>491</v>
      </c>
      <c r="Q16" s="5" t="s">
        <v>492</v>
      </c>
      <c r="R16" s="5" t="s">
        <v>338</v>
      </c>
      <c r="S16" s="5" t="s">
        <v>339</v>
      </c>
      <c r="T16" s="5" t="s">
        <v>340</v>
      </c>
    </row>
    <row r="17" spans="1:20" ht="41.4">
      <c r="A17" s="5" t="s">
        <v>493</v>
      </c>
      <c r="B17" s="5" t="s">
        <v>494</v>
      </c>
      <c r="C17" s="5" t="s">
        <v>29</v>
      </c>
      <c r="D17" s="5" t="s">
        <v>495</v>
      </c>
      <c r="E17" s="5" t="s">
        <v>496</v>
      </c>
      <c r="F17" s="5" t="s">
        <v>497</v>
      </c>
      <c r="G17" s="5" t="s">
        <v>498</v>
      </c>
      <c r="H17" s="5" t="s">
        <v>499</v>
      </c>
      <c r="I17" s="5" t="s">
        <v>500</v>
      </c>
      <c r="J17" s="5" t="s">
        <v>501</v>
      </c>
      <c r="K17" s="5" t="s">
        <v>502</v>
      </c>
      <c r="L17" s="5" t="s">
        <v>332</v>
      </c>
      <c r="M17" s="5" t="s">
        <v>333</v>
      </c>
      <c r="N17" s="5" t="s">
        <v>503</v>
      </c>
      <c r="O17" s="5" t="s">
        <v>504</v>
      </c>
      <c r="P17" s="5" t="s">
        <v>505</v>
      </c>
      <c r="Q17" s="5" t="s">
        <v>506</v>
      </c>
      <c r="R17" s="5" t="s">
        <v>338</v>
      </c>
      <c r="S17" s="5" t="s">
        <v>339</v>
      </c>
      <c r="T17" s="5" t="s">
        <v>340</v>
      </c>
    </row>
    <row r="18" spans="1:20" ht="41.4">
      <c r="A18" s="5" t="s">
        <v>507</v>
      </c>
      <c r="B18" s="5" t="s">
        <v>508</v>
      </c>
      <c r="C18" s="5" t="s">
        <v>29</v>
      </c>
      <c r="D18" s="5" t="s">
        <v>509</v>
      </c>
      <c r="E18" s="5" t="s">
        <v>510</v>
      </c>
      <c r="F18" s="5" t="s">
        <v>511</v>
      </c>
      <c r="G18" s="5" t="s">
        <v>512</v>
      </c>
      <c r="H18" s="5" t="s">
        <v>513</v>
      </c>
      <c r="I18" s="5" t="s">
        <v>514</v>
      </c>
      <c r="J18" s="5" t="s">
        <v>515</v>
      </c>
      <c r="K18" s="5" t="s">
        <v>516</v>
      </c>
      <c r="L18" s="5" t="s">
        <v>332</v>
      </c>
      <c r="M18" s="5" t="s">
        <v>333</v>
      </c>
      <c r="N18" s="5" t="s">
        <v>517</v>
      </c>
      <c r="O18" s="5" t="s">
        <v>518</v>
      </c>
      <c r="P18" s="5" t="s">
        <v>519</v>
      </c>
      <c r="Q18" s="5" t="s">
        <v>520</v>
      </c>
      <c r="R18" s="5" t="s">
        <v>338</v>
      </c>
      <c r="S18" s="5" t="s">
        <v>339</v>
      </c>
      <c r="T18" s="5" t="s">
        <v>340</v>
      </c>
    </row>
    <row r="19" spans="1:20" ht="41.4">
      <c r="A19" s="5" t="s">
        <v>521</v>
      </c>
      <c r="B19" s="5" t="s">
        <v>522</v>
      </c>
      <c r="C19" s="5" t="s">
        <v>29</v>
      </c>
      <c r="D19" s="5" t="s">
        <v>523</v>
      </c>
      <c r="E19" s="5" t="s">
        <v>524</v>
      </c>
      <c r="F19" s="5" t="s">
        <v>525</v>
      </c>
      <c r="G19" s="5" t="s">
        <v>526</v>
      </c>
      <c r="H19" s="5" t="s">
        <v>527</v>
      </c>
      <c r="I19" s="5" t="s">
        <v>528</v>
      </c>
      <c r="J19" s="5" t="s">
        <v>529</v>
      </c>
      <c r="K19" s="5" t="s">
        <v>530</v>
      </c>
      <c r="L19" s="5" t="s">
        <v>332</v>
      </c>
      <c r="M19" s="5" t="s">
        <v>333</v>
      </c>
      <c r="N19" s="5" t="s">
        <v>531</v>
      </c>
      <c r="O19" s="5" t="s">
        <v>532</v>
      </c>
      <c r="P19" s="5" t="s">
        <v>533</v>
      </c>
      <c r="Q19" s="5" t="s">
        <v>534</v>
      </c>
      <c r="R19" s="5" t="s">
        <v>338</v>
      </c>
      <c r="S19" s="5" t="s">
        <v>339</v>
      </c>
      <c r="T19" s="5" t="s">
        <v>340</v>
      </c>
    </row>
    <row r="20" spans="1:20" ht="41.4">
      <c r="A20" s="5" t="s">
        <v>535</v>
      </c>
      <c r="B20" s="5" t="s">
        <v>536</v>
      </c>
      <c r="C20" s="5" t="s">
        <v>29</v>
      </c>
      <c r="D20" s="5" t="s">
        <v>537</v>
      </c>
      <c r="E20" s="5" t="s">
        <v>538</v>
      </c>
      <c r="F20" s="5" t="s">
        <v>539</v>
      </c>
      <c r="G20" s="5" t="s">
        <v>540</v>
      </c>
      <c r="H20" s="5" t="s">
        <v>541</v>
      </c>
      <c r="I20" s="5" t="s">
        <v>542</v>
      </c>
      <c r="J20" s="5" t="s">
        <v>543</v>
      </c>
      <c r="K20" s="5" t="s">
        <v>544</v>
      </c>
      <c r="L20" s="5" t="s">
        <v>332</v>
      </c>
      <c r="M20" s="5" t="s">
        <v>333</v>
      </c>
      <c r="N20" s="5" t="s">
        <v>545</v>
      </c>
      <c r="O20" s="5" t="s">
        <v>546</v>
      </c>
      <c r="P20" s="5" t="s">
        <v>547</v>
      </c>
      <c r="Q20" s="5" t="s">
        <v>548</v>
      </c>
      <c r="R20" s="5" t="s">
        <v>338</v>
      </c>
      <c r="S20" s="5" t="s">
        <v>339</v>
      </c>
      <c r="T20" s="5" t="s">
        <v>340</v>
      </c>
    </row>
    <row r="21" spans="1:20" ht="41.4">
      <c r="A21" s="5" t="s">
        <v>549</v>
      </c>
      <c r="B21" s="5" t="s">
        <v>269</v>
      </c>
      <c r="C21" s="5" t="s">
        <v>29</v>
      </c>
      <c r="D21" s="5" t="s">
        <v>550</v>
      </c>
      <c r="E21" s="5" t="s">
        <v>551</v>
      </c>
      <c r="F21" s="5" t="s">
        <v>552</v>
      </c>
      <c r="G21" s="5" t="s">
        <v>553</v>
      </c>
      <c r="H21" s="5" t="s">
        <v>554</v>
      </c>
      <c r="I21" s="5" t="s">
        <v>555</v>
      </c>
      <c r="J21" s="5" t="s">
        <v>556</v>
      </c>
      <c r="K21" s="5" t="s">
        <v>557</v>
      </c>
      <c r="L21" s="5" t="s">
        <v>332</v>
      </c>
      <c r="M21" s="5" t="s">
        <v>333</v>
      </c>
      <c r="N21" s="5" t="s">
        <v>558</v>
      </c>
      <c r="O21" s="5" t="s">
        <v>559</v>
      </c>
      <c r="P21" s="5" t="s">
        <v>560</v>
      </c>
      <c r="Q21" s="5" t="s">
        <v>561</v>
      </c>
      <c r="R21" s="5" t="s">
        <v>338</v>
      </c>
      <c r="S21" s="5" t="s">
        <v>339</v>
      </c>
      <c r="T21" s="5" t="s">
        <v>340</v>
      </c>
    </row>
    <row r="22" spans="1:20" ht="41.4">
      <c r="A22" s="5" t="s">
        <v>562</v>
      </c>
      <c r="B22" s="5" t="s">
        <v>563</v>
      </c>
      <c r="C22" s="5" t="s">
        <v>29</v>
      </c>
      <c r="D22" s="5" t="s">
        <v>564</v>
      </c>
      <c r="E22" s="5" t="s">
        <v>565</v>
      </c>
      <c r="F22" s="5" t="s">
        <v>566</v>
      </c>
      <c r="G22" s="5" t="s">
        <v>567</v>
      </c>
      <c r="H22" s="5" t="s">
        <v>568</v>
      </c>
      <c r="I22" s="5" t="s">
        <v>569</v>
      </c>
      <c r="J22" s="5" t="s">
        <v>570</v>
      </c>
      <c r="K22" s="5" t="s">
        <v>571</v>
      </c>
      <c r="L22" s="5" t="s">
        <v>332</v>
      </c>
      <c r="M22" s="5" t="s">
        <v>333</v>
      </c>
      <c r="N22" s="5" t="s">
        <v>572</v>
      </c>
      <c r="O22" s="5" t="s">
        <v>573</v>
      </c>
      <c r="P22" s="5" t="s">
        <v>574</v>
      </c>
      <c r="Q22" s="5" t="s">
        <v>575</v>
      </c>
      <c r="R22" s="5" t="s">
        <v>338</v>
      </c>
      <c r="S22" s="5" t="s">
        <v>339</v>
      </c>
      <c r="T22" s="5" t="s">
        <v>340</v>
      </c>
    </row>
    <row r="23" spans="1:20" ht="41.4">
      <c r="A23" s="5" t="s">
        <v>576</v>
      </c>
      <c r="B23" s="5" t="s">
        <v>577</v>
      </c>
      <c r="C23" s="5" t="s">
        <v>29</v>
      </c>
      <c r="D23" s="5" t="s">
        <v>578</v>
      </c>
      <c r="E23" s="5" t="s">
        <v>579</v>
      </c>
      <c r="F23" s="5" t="s">
        <v>580</v>
      </c>
      <c r="G23" s="5" t="s">
        <v>581</v>
      </c>
      <c r="H23" s="5" t="s">
        <v>582</v>
      </c>
      <c r="I23" s="5" t="s">
        <v>583</v>
      </c>
      <c r="J23" s="5" t="s">
        <v>584</v>
      </c>
      <c r="K23" s="5" t="s">
        <v>585</v>
      </c>
      <c r="L23" s="5" t="s">
        <v>332</v>
      </c>
      <c r="M23" s="5" t="s">
        <v>333</v>
      </c>
      <c r="N23" s="5" t="s">
        <v>586</v>
      </c>
      <c r="O23" s="5" t="s">
        <v>450</v>
      </c>
      <c r="P23" s="5" t="s">
        <v>587</v>
      </c>
      <c r="Q23" s="5" t="s">
        <v>588</v>
      </c>
      <c r="R23" s="5" t="s">
        <v>338</v>
      </c>
      <c r="S23" s="5" t="s">
        <v>339</v>
      </c>
      <c r="T23" s="5" t="s">
        <v>340</v>
      </c>
    </row>
    <row r="24" spans="1:20" ht="41.4">
      <c r="A24" s="5" t="s">
        <v>589</v>
      </c>
      <c r="B24" s="5" t="s">
        <v>590</v>
      </c>
      <c r="C24" s="5" t="s">
        <v>29</v>
      </c>
      <c r="D24" s="5" t="s">
        <v>591</v>
      </c>
      <c r="E24" s="5" t="s">
        <v>592</v>
      </c>
      <c r="F24" s="5" t="s">
        <v>593</v>
      </c>
      <c r="G24" s="5" t="s">
        <v>594</v>
      </c>
      <c r="H24" s="5" t="s">
        <v>595</v>
      </c>
      <c r="I24" s="5" t="s">
        <v>596</v>
      </c>
      <c r="J24" s="5" t="s">
        <v>597</v>
      </c>
      <c r="K24" s="5" t="s">
        <v>598</v>
      </c>
      <c r="L24" s="5" t="s">
        <v>332</v>
      </c>
      <c r="M24" s="5" t="s">
        <v>333</v>
      </c>
      <c r="N24" s="5" t="s">
        <v>599</v>
      </c>
      <c r="O24" s="5" t="s">
        <v>600</v>
      </c>
      <c r="P24" s="5" t="s">
        <v>601</v>
      </c>
      <c r="Q24" s="5" t="s">
        <v>602</v>
      </c>
      <c r="R24" s="5" t="s">
        <v>338</v>
      </c>
      <c r="S24" s="5" t="s">
        <v>339</v>
      </c>
      <c r="T24" s="5" t="s">
        <v>340</v>
      </c>
    </row>
    <row r="25" spans="1:20" ht="41.4">
      <c r="A25" s="5" t="s">
        <v>603</v>
      </c>
      <c r="B25" s="5" t="s">
        <v>604</v>
      </c>
      <c r="C25" s="5" t="s">
        <v>29</v>
      </c>
      <c r="D25" s="5" t="s">
        <v>605</v>
      </c>
      <c r="E25" s="5" t="s">
        <v>606</v>
      </c>
      <c r="F25" s="5" t="s">
        <v>607</v>
      </c>
      <c r="G25" s="5" t="s">
        <v>608</v>
      </c>
      <c r="H25" s="5" t="s">
        <v>609</v>
      </c>
      <c r="I25" s="5" t="s">
        <v>610</v>
      </c>
      <c r="J25" s="5" t="s">
        <v>611</v>
      </c>
      <c r="K25" s="5" t="s">
        <v>612</v>
      </c>
      <c r="L25" s="5" t="s">
        <v>332</v>
      </c>
      <c r="M25" s="5" t="s">
        <v>333</v>
      </c>
      <c r="N25" s="5" t="s">
        <v>613</v>
      </c>
      <c r="O25" s="5" t="s">
        <v>614</v>
      </c>
      <c r="P25" s="5" t="s">
        <v>615</v>
      </c>
      <c r="Q25" s="5" t="s">
        <v>616</v>
      </c>
      <c r="R25" s="5" t="s">
        <v>338</v>
      </c>
      <c r="S25" s="5" t="s">
        <v>339</v>
      </c>
      <c r="T25" s="5" t="s">
        <v>340</v>
      </c>
    </row>
    <row r="26" spans="1:20" ht="41.4">
      <c r="A26" s="5" t="s">
        <v>617</v>
      </c>
      <c r="B26" s="5" t="s">
        <v>618</v>
      </c>
      <c r="C26" s="5" t="s">
        <v>29</v>
      </c>
      <c r="D26" s="5" t="s">
        <v>619</v>
      </c>
      <c r="E26" s="5" t="s">
        <v>620</v>
      </c>
      <c r="F26" s="5" t="s">
        <v>621</v>
      </c>
      <c r="G26" s="5" t="s">
        <v>622</v>
      </c>
      <c r="H26" s="5" t="s">
        <v>623</v>
      </c>
      <c r="I26" s="5" t="s">
        <v>624</v>
      </c>
      <c r="J26" s="5" t="s">
        <v>625</v>
      </c>
      <c r="K26" s="5" t="s">
        <v>626</v>
      </c>
      <c r="L26" s="5" t="s">
        <v>332</v>
      </c>
      <c r="M26" s="5" t="s">
        <v>333</v>
      </c>
      <c r="N26" s="5" t="s">
        <v>627</v>
      </c>
      <c r="O26" s="5" t="s">
        <v>450</v>
      </c>
      <c r="P26" s="5" t="s">
        <v>628</v>
      </c>
      <c r="Q26" s="5" t="s">
        <v>629</v>
      </c>
      <c r="R26" s="5" t="s">
        <v>338</v>
      </c>
      <c r="S26" s="5" t="s">
        <v>339</v>
      </c>
      <c r="T26" s="5" t="s">
        <v>340</v>
      </c>
    </row>
    <row r="27" spans="1:20" ht="41.4">
      <c r="A27" s="5" t="s">
        <v>630</v>
      </c>
      <c r="B27" s="5" t="s">
        <v>631</v>
      </c>
      <c r="C27" s="5" t="s">
        <v>29</v>
      </c>
      <c r="D27" s="5" t="s">
        <v>632</v>
      </c>
      <c r="E27" s="5" t="s">
        <v>633</v>
      </c>
      <c r="F27" s="5" t="s">
        <v>634</v>
      </c>
      <c r="G27" s="5" t="s">
        <v>635</v>
      </c>
      <c r="H27" s="5" t="s">
        <v>636</v>
      </c>
      <c r="I27" s="5" t="s">
        <v>637</v>
      </c>
      <c r="J27" s="5" t="s">
        <v>638</v>
      </c>
      <c r="K27" s="5" t="s">
        <v>639</v>
      </c>
      <c r="L27" s="5" t="s">
        <v>332</v>
      </c>
      <c r="M27" s="5" t="s">
        <v>333</v>
      </c>
      <c r="N27" s="5" t="s">
        <v>640</v>
      </c>
      <c r="O27" s="5" t="s">
        <v>641</v>
      </c>
      <c r="P27" s="5" t="s">
        <v>642</v>
      </c>
      <c r="Q27" s="5" t="s">
        <v>643</v>
      </c>
      <c r="R27" s="5" t="s">
        <v>338</v>
      </c>
      <c r="S27" s="5" t="s">
        <v>339</v>
      </c>
      <c r="T27" s="5" t="s">
        <v>340</v>
      </c>
    </row>
    <row r="28" spans="1:20" ht="41.4">
      <c r="A28" s="5" t="s">
        <v>644</v>
      </c>
      <c r="B28" s="5" t="s">
        <v>645</v>
      </c>
      <c r="C28" s="5" t="s">
        <v>29</v>
      </c>
      <c r="D28" s="5" t="s">
        <v>646</v>
      </c>
      <c r="E28" s="5" t="s">
        <v>647</v>
      </c>
      <c r="F28" s="5" t="s">
        <v>648</v>
      </c>
      <c r="G28" s="5" t="s">
        <v>649</v>
      </c>
      <c r="H28" s="5" t="s">
        <v>650</v>
      </c>
      <c r="I28" s="5" t="s">
        <v>651</v>
      </c>
      <c r="J28" s="5" t="s">
        <v>652</v>
      </c>
      <c r="K28" s="5" t="s">
        <v>653</v>
      </c>
      <c r="L28" s="5" t="s">
        <v>332</v>
      </c>
      <c r="M28" s="5" t="s">
        <v>333</v>
      </c>
      <c r="N28" s="5" t="s">
        <v>654</v>
      </c>
      <c r="O28" s="5" t="s">
        <v>655</v>
      </c>
      <c r="P28" s="5" t="s">
        <v>656</v>
      </c>
      <c r="Q28" s="5" t="s">
        <v>657</v>
      </c>
      <c r="R28" s="5" t="s">
        <v>338</v>
      </c>
      <c r="S28" s="5" t="s">
        <v>339</v>
      </c>
      <c r="T28" s="5" t="s">
        <v>340</v>
      </c>
    </row>
    <row r="29" spans="1:20" ht="41.4">
      <c r="A29" s="5" t="s">
        <v>658</v>
      </c>
      <c r="B29" s="5" t="s">
        <v>659</v>
      </c>
      <c r="C29" s="5" t="s">
        <v>29</v>
      </c>
      <c r="D29" s="5" t="s">
        <v>660</v>
      </c>
      <c r="E29" s="5" t="s">
        <v>661</v>
      </c>
      <c r="F29" s="5" t="s">
        <v>662</v>
      </c>
      <c r="G29" s="5" t="s">
        <v>663</v>
      </c>
      <c r="H29" s="5" t="s">
        <v>664</v>
      </c>
      <c r="I29" s="5" t="s">
        <v>665</v>
      </c>
      <c r="J29" s="5" t="s">
        <v>666</v>
      </c>
      <c r="K29" s="5" t="s">
        <v>667</v>
      </c>
      <c r="L29" s="5" t="s">
        <v>332</v>
      </c>
      <c r="M29" s="5" t="s">
        <v>333</v>
      </c>
      <c r="N29" s="5" t="s">
        <v>668</v>
      </c>
      <c r="O29" s="5" t="s">
        <v>669</v>
      </c>
      <c r="P29" s="5" t="s">
        <v>670</v>
      </c>
      <c r="Q29" s="5" t="s">
        <v>671</v>
      </c>
      <c r="R29" s="5" t="s">
        <v>338</v>
      </c>
      <c r="S29" s="5" t="s">
        <v>339</v>
      </c>
      <c r="T29" s="5" t="s">
        <v>340</v>
      </c>
    </row>
    <row r="30" spans="1:20" ht="41.4">
      <c r="A30" s="5" t="s">
        <v>672</v>
      </c>
      <c r="B30" s="5" t="s">
        <v>673</v>
      </c>
      <c r="C30" s="5" t="s">
        <v>29</v>
      </c>
      <c r="D30" s="5" t="s">
        <v>674</v>
      </c>
      <c r="E30" s="5" t="s">
        <v>675</v>
      </c>
      <c r="F30" s="5" t="s">
        <v>676</v>
      </c>
      <c r="G30" s="5" t="s">
        <v>677</v>
      </c>
      <c r="H30" s="5" t="s">
        <v>678</v>
      </c>
      <c r="I30" s="5" t="s">
        <v>679</v>
      </c>
      <c r="J30" s="5" t="s">
        <v>680</v>
      </c>
      <c r="K30" s="5" t="s">
        <v>681</v>
      </c>
      <c r="L30" s="5" t="s">
        <v>332</v>
      </c>
      <c r="M30" s="5" t="s">
        <v>333</v>
      </c>
      <c r="N30" s="5" t="s">
        <v>682</v>
      </c>
      <c r="O30" s="5" t="s">
        <v>683</v>
      </c>
      <c r="P30" s="5" t="s">
        <v>684</v>
      </c>
      <c r="Q30" s="5" t="s">
        <v>685</v>
      </c>
      <c r="R30" s="5" t="s">
        <v>338</v>
      </c>
      <c r="S30" s="5" t="s">
        <v>339</v>
      </c>
      <c r="T30" s="5" t="s">
        <v>340</v>
      </c>
    </row>
    <row r="31" spans="1:20" ht="41.4">
      <c r="A31" s="5" t="s">
        <v>686</v>
      </c>
      <c r="B31" s="5" t="s">
        <v>687</v>
      </c>
      <c r="C31" s="5" t="s">
        <v>17</v>
      </c>
      <c r="D31" s="5" t="s">
        <v>688</v>
      </c>
      <c r="E31" s="5" t="s">
        <v>689</v>
      </c>
      <c r="F31" s="5" t="s">
        <v>690</v>
      </c>
      <c r="G31" s="5" t="s">
        <v>691</v>
      </c>
      <c r="H31" s="5" t="s">
        <v>692</v>
      </c>
      <c r="I31" s="5" t="s">
        <v>693</v>
      </c>
      <c r="J31" s="5" t="s">
        <v>694</v>
      </c>
      <c r="K31" s="5" t="s">
        <v>695</v>
      </c>
      <c r="L31" s="5" t="s">
        <v>332</v>
      </c>
      <c r="M31" s="5" t="s">
        <v>333</v>
      </c>
      <c r="N31" s="5" t="s">
        <v>696</v>
      </c>
      <c r="O31" s="5" t="s">
        <v>697</v>
      </c>
      <c r="P31" s="5" t="s">
        <v>698</v>
      </c>
      <c r="Q31" s="5" t="s">
        <v>699</v>
      </c>
      <c r="R31" s="5" t="s">
        <v>338</v>
      </c>
      <c r="S31" s="5" t="s">
        <v>339</v>
      </c>
      <c r="T31" s="5" t="s">
        <v>700</v>
      </c>
    </row>
    <row r="32" spans="1:20" ht="41.4">
      <c r="A32" s="5" t="s">
        <v>701</v>
      </c>
      <c r="B32" s="5" t="s">
        <v>702</v>
      </c>
      <c r="C32" s="5" t="s">
        <v>17</v>
      </c>
      <c r="D32" s="5" t="s">
        <v>703</v>
      </c>
      <c r="E32" s="5" t="s">
        <v>704</v>
      </c>
      <c r="F32" s="5" t="s">
        <v>705</v>
      </c>
      <c r="G32" s="5" t="s">
        <v>706</v>
      </c>
      <c r="H32" s="5" t="s">
        <v>707</v>
      </c>
      <c r="I32" s="5" t="s">
        <v>708</v>
      </c>
      <c r="J32" s="5" t="s">
        <v>709</v>
      </c>
      <c r="K32" s="5" t="s">
        <v>710</v>
      </c>
      <c r="L32" s="5" t="s">
        <v>332</v>
      </c>
      <c r="M32" s="5" t="s">
        <v>333</v>
      </c>
      <c r="N32" s="5" t="s">
        <v>711</v>
      </c>
      <c r="O32" s="5" t="s">
        <v>712</v>
      </c>
      <c r="P32" s="5" t="s">
        <v>713</v>
      </c>
      <c r="Q32" s="5" t="s">
        <v>714</v>
      </c>
      <c r="R32" s="5" t="s">
        <v>338</v>
      </c>
      <c r="S32" s="5" t="s">
        <v>339</v>
      </c>
      <c r="T32" s="5" t="s">
        <v>700</v>
      </c>
    </row>
    <row r="33" spans="1:20" ht="41.4">
      <c r="A33" s="5" t="s">
        <v>715</v>
      </c>
      <c r="B33" s="5" t="s">
        <v>716</v>
      </c>
      <c r="C33" s="5" t="s">
        <v>17</v>
      </c>
      <c r="D33" s="5" t="s">
        <v>717</v>
      </c>
      <c r="E33" s="5" t="s">
        <v>718</v>
      </c>
      <c r="F33" s="5" t="s">
        <v>719</v>
      </c>
      <c r="G33" s="5" t="s">
        <v>720</v>
      </c>
      <c r="H33" s="5" t="s">
        <v>721</v>
      </c>
      <c r="I33" s="5" t="s">
        <v>722</v>
      </c>
      <c r="J33" s="5" t="s">
        <v>723</v>
      </c>
      <c r="K33" s="5" t="s">
        <v>724</v>
      </c>
      <c r="L33" s="5" t="s">
        <v>332</v>
      </c>
      <c r="M33" s="5" t="s">
        <v>333</v>
      </c>
      <c r="N33" s="5" t="s">
        <v>725</v>
      </c>
      <c r="O33" s="5" t="s">
        <v>726</v>
      </c>
      <c r="P33" s="5" t="s">
        <v>727</v>
      </c>
      <c r="Q33" s="5" t="s">
        <v>728</v>
      </c>
      <c r="R33" s="5" t="s">
        <v>338</v>
      </c>
      <c r="S33" s="5" t="s">
        <v>339</v>
      </c>
      <c r="T33" s="5" t="s">
        <v>700</v>
      </c>
    </row>
    <row r="34" spans="1:20" ht="41.4">
      <c r="A34" s="5" t="s">
        <v>729</v>
      </c>
      <c r="B34" s="5" t="s">
        <v>730</v>
      </c>
      <c r="C34" s="5" t="s">
        <v>17</v>
      </c>
      <c r="D34" s="5" t="s">
        <v>731</v>
      </c>
      <c r="E34" s="5" t="s">
        <v>732</v>
      </c>
      <c r="F34" s="5" t="s">
        <v>733</v>
      </c>
      <c r="G34" s="5" t="s">
        <v>734</v>
      </c>
      <c r="H34" s="5" t="s">
        <v>735</v>
      </c>
      <c r="I34" s="5" t="s">
        <v>736</v>
      </c>
      <c r="J34" s="5" t="s">
        <v>737</v>
      </c>
      <c r="K34" s="5" t="s">
        <v>738</v>
      </c>
      <c r="L34" s="5" t="s">
        <v>332</v>
      </c>
      <c r="M34" s="5" t="s">
        <v>333</v>
      </c>
      <c r="N34" s="5" t="s">
        <v>739</v>
      </c>
      <c r="O34" s="5" t="s">
        <v>740</v>
      </c>
      <c r="P34" s="5" t="s">
        <v>741</v>
      </c>
      <c r="Q34" s="5" t="s">
        <v>742</v>
      </c>
      <c r="R34" s="5" t="s">
        <v>338</v>
      </c>
      <c r="S34" s="5" t="s">
        <v>743</v>
      </c>
      <c r="T34" s="5" t="s">
        <v>700</v>
      </c>
    </row>
    <row r="35" spans="1:20" ht="41.4">
      <c r="A35" s="5" t="s">
        <v>744</v>
      </c>
      <c r="B35" s="5" t="s">
        <v>745</v>
      </c>
      <c r="C35" s="5" t="s">
        <v>17</v>
      </c>
      <c r="D35" s="5" t="s">
        <v>746</v>
      </c>
      <c r="E35" s="5" t="s">
        <v>732</v>
      </c>
      <c r="F35" s="5" t="s">
        <v>747</v>
      </c>
      <c r="G35" s="5" t="s">
        <v>748</v>
      </c>
      <c r="H35" s="5" t="s">
        <v>749</v>
      </c>
      <c r="I35" s="5" t="s">
        <v>750</v>
      </c>
      <c r="J35" s="5" t="s">
        <v>751</v>
      </c>
      <c r="K35" s="5" t="s">
        <v>738</v>
      </c>
      <c r="L35" s="5" t="s">
        <v>332</v>
      </c>
      <c r="M35" s="5" t="s">
        <v>333</v>
      </c>
      <c r="N35" s="5" t="s">
        <v>752</v>
      </c>
      <c r="O35" s="5" t="s">
        <v>753</v>
      </c>
      <c r="P35" s="5" t="s">
        <v>754</v>
      </c>
      <c r="Q35" s="5" t="s">
        <v>755</v>
      </c>
      <c r="R35" s="5" t="s">
        <v>338</v>
      </c>
      <c r="S35" s="5" t="s">
        <v>756</v>
      </c>
      <c r="T35" s="5" t="s">
        <v>700</v>
      </c>
    </row>
    <row r="36" spans="1:20" ht="41.4">
      <c r="A36" s="5" t="s">
        <v>757</v>
      </c>
      <c r="B36" s="5" t="s">
        <v>758</v>
      </c>
      <c r="C36" s="5" t="s">
        <v>17</v>
      </c>
      <c r="D36" s="5" t="s">
        <v>759</v>
      </c>
      <c r="E36" s="5" t="s">
        <v>732</v>
      </c>
      <c r="F36" s="5" t="s">
        <v>760</v>
      </c>
      <c r="G36" s="5" t="s">
        <v>761</v>
      </c>
      <c r="H36" s="5" t="s">
        <v>762</v>
      </c>
      <c r="I36" s="5" t="s">
        <v>763</v>
      </c>
      <c r="J36" s="5" t="s">
        <v>764</v>
      </c>
      <c r="K36" s="5" t="s">
        <v>738</v>
      </c>
      <c r="L36" s="5" t="s">
        <v>332</v>
      </c>
      <c r="M36" s="5" t="s">
        <v>333</v>
      </c>
      <c r="N36" s="5" t="s">
        <v>765</v>
      </c>
      <c r="O36" s="5" t="s">
        <v>766</v>
      </c>
      <c r="P36" s="5" t="s">
        <v>767</v>
      </c>
      <c r="Q36" s="5" t="s">
        <v>768</v>
      </c>
      <c r="R36" s="5" t="s">
        <v>338</v>
      </c>
      <c r="S36" s="5" t="s">
        <v>769</v>
      </c>
      <c r="T36" s="5" t="s">
        <v>700</v>
      </c>
    </row>
    <row r="37" spans="1:20" ht="41.4">
      <c r="A37" s="5" t="s">
        <v>770</v>
      </c>
      <c r="B37" s="5" t="s">
        <v>771</v>
      </c>
      <c r="C37" s="5" t="s">
        <v>20</v>
      </c>
      <c r="D37" s="5" t="s">
        <v>772</v>
      </c>
      <c r="E37" s="5" t="s">
        <v>773</v>
      </c>
      <c r="F37" s="5" t="s">
        <v>774</v>
      </c>
      <c r="G37" s="5" t="s">
        <v>775</v>
      </c>
      <c r="H37" s="5" t="s">
        <v>776</v>
      </c>
      <c r="I37" s="5" t="s">
        <v>777</v>
      </c>
      <c r="J37" s="5" t="s">
        <v>694</v>
      </c>
      <c r="K37" s="5" t="s">
        <v>778</v>
      </c>
      <c r="L37" s="5" t="s">
        <v>332</v>
      </c>
      <c r="M37" s="5" t="s">
        <v>333</v>
      </c>
      <c r="N37" s="5" t="s">
        <v>779</v>
      </c>
      <c r="O37" s="5" t="s">
        <v>780</v>
      </c>
      <c r="P37" s="5" t="s">
        <v>781</v>
      </c>
      <c r="Q37" s="5" t="s">
        <v>782</v>
      </c>
      <c r="R37" s="5" t="s">
        <v>338</v>
      </c>
      <c r="S37" s="5" t="s">
        <v>339</v>
      </c>
      <c r="T37" s="5" t="s">
        <v>783</v>
      </c>
    </row>
    <row r="38" spans="1:20" ht="41.4">
      <c r="A38" s="5" t="s">
        <v>784</v>
      </c>
      <c r="B38" s="5" t="s">
        <v>785</v>
      </c>
      <c r="C38" s="5" t="s">
        <v>20</v>
      </c>
      <c r="D38" s="5" t="s">
        <v>786</v>
      </c>
      <c r="E38" s="5" t="s">
        <v>787</v>
      </c>
      <c r="F38" s="5" t="s">
        <v>788</v>
      </c>
      <c r="G38" s="5" t="s">
        <v>789</v>
      </c>
      <c r="H38" s="5" t="s">
        <v>790</v>
      </c>
      <c r="I38" s="5" t="s">
        <v>791</v>
      </c>
      <c r="J38" s="5" t="s">
        <v>792</v>
      </c>
      <c r="K38" s="5" t="s">
        <v>793</v>
      </c>
      <c r="L38" s="5" t="s">
        <v>332</v>
      </c>
      <c r="M38" s="5" t="s">
        <v>333</v>
      </c>
      <c r="N38" s="5" t="s">
        <v>794</v>
      </c>
      <c r="O38" s="5" t="s">
        <v>795</v>
      </c>
      <c r="P38" s="5" t="s">
        <v>796</v>
      </c>
      <c r="Q38" s="5" t="s">
        <v>797</v>
      </c>
      <c r="R38" s="5" t="s">
        <v>338</v>
      </c>
      <c r="S38" s="5" t="s">
        <v>339</v>
      </c>
      <c r="T38" s="5" t="s">
        <v>783</v>
      </c>
    </row>
    <row r="39" spans="1:20" ht="41.4">
      <c r="A39" s="5" t="s">
        <v>798</v>
      </c>
      <c r="B39" s="5" t="s">
        <v>799</v>
      </c>
      <c r="C39" s="5" t="s">
        <v>20</v>
      </c>
      <c r="D39" s="5" t="s">
        <v>800</v>
      </c>
      <c r="E39" s="5" t="s">
        <v>801</v>
      </c>
      <c r="F39" s="5" t="s">
        <v>802</v>
      </c>
      <c r="G39" s="5" t="s">
        <v>803</v>
      </c>
      <c r="H39" s="5" t="s">
        <v>804</v>
      </c>
      <c r="I39" s="5" t="s">
        <v>805</v>
      </c>
      <c r="J39" s="5" t="s">
        <v>806</v>
      </c>
      <c r="K39" s="5" t="s">
        <v>807</v>
      </c>
      <c r="L39" s="5" t="s">
        <v>332</v>
      </c>
      <c r="M39" s="5" t="s">
        <v>333</v>
      </c>
      <c r="N39" s="5" t="s">
        <v>808</v>
      </c>
      <c r="O39" s="5" t="s">
        <v>809</v>
      </c>
      <c r="P39" s="5" t="s">
        <v>810</v>
      </c>
      <c r="Q39" s="5" t="s">
        <v>811</v>
      </c>
      <c r="R39" s="5" t="s">
        <v>338</v>
      </c>
      <c r="S39" s="5" t="s">
        <v>339</v>
      </c>
      <c r="T39" s="5" t="s">
        <v>783</v>
      </c>
    </row>
    <row r="40" spans="1:20" ht="41.4">
      <c r="A40" s="5" t="s">
        <v>812</v>
      </c>
      <c r="B40" s="5" t="s">
        <v>813</v>
      </c>
      <c r="C40" s="5" t="s">
        <v>20</v>
      </c>
      <c r="D40" s="5" t="s">
        <v>814</v>
      </c>
      <c r="E40" s="5" t="s">
        <v>815</v>
      </c>
      <c r="F40" s="5" t="s">
        <v>816</v>
      </c>
      <c r="G40" s="5" t="s">
        <v>817</v>
      </c>
      <c r="H40" s="5" t="s">
        <v>818</v>
      </c>
      <c r="I40" s="5" t="s">
        <v>819</v>
      </c>
      <c r="J40" s="5" t="s">
        <v>820</v>
      </c>
      <c r="K40" s="5" t="s">
        <v>738</v>
      </c>
      <c r="L40" s="5" t="s">
        <v>332</v>
      </c>
      <c r="M40" s="5" t="s">
        <v>333</v>
      </c>
      <c r="N40" s="5" t="s">
        <v>821</v>
      </c>
      <c r="O40" s="5" t="s">
        <v>822</v>
      </c>
      <c r="P40" s="5" t="s">
        <v>823</v>
      </c>
      <c r="Q40" s="5" t="s">
        <v>824</v>
      </c>
      <c r="R40" s="5" t="s">
        <v>338</v>
      </c>
      <c r="S40" s="5" t="s">
        <v>825</v>
      </c>
      <c r="T40" s="5" t="s">
        <v>783</v>
      </c>
    </row>
    <row r="41" spans="1:20" ht="41.4">
      <c r="A41" s="5" t="s">
        <v>826</v>
      </c>
      <c r="B41" s="5" t="s">
        <v>827</v>
      </c>
      <c r="C41" s="5" t="s">
        <v>26</v>
      </c>
      <c r="D41" s="5" t="s">
        <v>828</v>
      </c>
      <c r="E41" s="5" t="s">
        <v>829</v>
      </c>
      <c r="F41" s="5" t="s">
        <v>830</v>
      </c>
      <c r="G41" s="5" t="s">
        <v>831</v>
      </c>
      <c r="H41" s="5" t="s">
        <v>832</v>
      </c>
      <c r="I41" s="5" t="s">
        <v>833</v>
      </c>
      <c r="J41" s="5" t="s">
        <v>834</v>
      </c>
      <c r="K41" s="5" t="s">
        <v>835</v>
      </c>
      <c r="L41" s="5" t="s">
        <v>332</v>
      </c>
      <c r="M41" s="5" t="s">
        <v>333</v>
      </c>
      <c r="N41" s="5" t="s">
        <v>836</v>
      </c>
      <c r="O41" s="5" t="s">
        <v>837</v>
      </c>
      <c r="P41" s="5" t="s">
        <v>838</v>
      </c>
      <c r="Q41" s="5" t="s">
        <v>839</v>
      </c>
      <c r="R41" s="5" t="s">
        <v>338</v>
      </c>
      <c r="S41" s="5" t="s">
        <v>339</v>
      </c>
      <c r="T41" s="5" t="s">
        <v>840</v>
      </c>
    </row>
    <row r="42" spans="1:20" ht="41.4">
      <c r="A42" s="5" t="s">
        <v>841</v>
      </c>
      <c r="B42" s="5" t="s">
        <v>842</v>
      </c>
      <c r="C42" s="5" t="s">
        <v>26</v>
      </c>
      <c r="D42" s="5" t="s">
        <v>843</v>
      </c>
      <c r="E42" s="5" t="s">
        <v>844</v>
      </c>
      <c r="F42" s="5" t="s">
        <v>845</v>
      </c>
      <c r="G42" s="5" t="s">
        <v>846</v>
      </c>
      <c r="H42" s="5" t="s">
        <v>847</v>
      </c>
      <c r="I42" s="5" t="s">
        <v>848</v>
      </c>
      <c r="J42" s="5" t="s">
        <v>849</v>
      </c>
      <c r="K42" s="5" t="s">
        <v>850</v>
      </c>
      <c r="L42" s="5" t="s">
        <v>332</v>
      </c>
      <c r="M42" s="5" t="s">
        <v>333</v>
      </c>
      <c r="N42" s="5" t="s">
        <v>851</v>
      </c>
      <c r="O42" s="5" t="s">
        <v>852</v>
      </c>
      <c r="P42" s="5" t="s">
        <v>853</v>
      </c>
      <c r="Q42" s="5" t="s">
        <v>854</v>
      </c>
      <c r="R42" s="5" t="s">
        <v>338</v>
      </c>
      <c r="S42" s="5" t="s">
        <v>339</v>
      </c>
      <c r="T42" s="5" t="s">
        <v>840</v>
      </c>
    </row>
    <row r="43" spans="1:20" ht="41.4">
      <c r="A43" s="5" t="s">
        <v>855</v>
      </c>
      <c r="B43" s="5" t="s">
        <v>856</v>
      </c>
      <c r="C43" s="5" t="s">
        <v>26</v>
      </c>
      <c r="D43" s="5" t="s">
        <v>857</v>
      </c>
      <c r="E43" s="5" t="s">
        <v>858</v>
      </c>
      <c r="F43" s="5" t="s">
        <v>859</v>
      </c>
      <c r="G43" s="5" t="s">
        <v>860</v>
      </c>
      <c r="H43" s="5" t="s">
        <v>861</v>
      </c>
      <c r="I43" s="5" t="s">
        <v>862</v>
      </c>
      <c r="J43" s="5" t="s">
        <v>863</v>
      </c>
      <c r="K43" s="5" t="s">
        <v>864</v>
      </c>
      <c r="L43" s="5" t="s">
        <v>332</v>
      </c>
      <c r="M43" s="5" t="s">
        <v>333</v>
      </c>
      <c r="N43" s="5" t="s">
        <v>865</v>
      </c>
      <c r="O43" s="5" t="s">
        <v>450</v>
      </c>
      <c r="P43" s="5" t="s">
        <v>866</v>
      </c>
      <c r="Q43" s="5" t="s">
        <v>867</v>
      </c>
      <c r="R43" s="5" t="s">
        <v>338</v>
      </c>
      <c r="S43" s="5" t="s">
        <v>339</v>
      </c>
      <c r="T43" s="5" t="s">
        <v>840</v>
      </c>
    </row>
    <row r="44" spans="1:20" ht="41.4">
      <c r="A44" s="5" t="s">
        <v>868</v>
      </c>
      <c r="B44" s="5" t="s">
        <v>869</v>
      </c>
      <c r="C44" s="5" t="s">
        <v>26</v>
      </c>
      <c r="D44" s="5" t="s">
        <v>870</v>
      </c>
      <c r="E44" s="5" t="s">
        <v>871</v>
      </c>
      <c r="F44" s="5" t="s">
        <v>872</v>
      </c>
      <c r="G44" s="5" t="s">
        <v>873</v>
      </c>
      <c r="H44" s="5" t="s">
        <v>874</v>
      </c>
      <c r="I44" s="5" t="s">
        <v>875</v>
      </c>
      <c r="J44" s="5" t="s">
        <v>876</v>
      </c>
      <c r="K44" s="5" t="s">
        <v>738</v>
      </c>
      <c r="L44" s="5" t="s">
        <v>332</v>
      </c>
      <c r="M44" s="5" t="s">
        <v>333</v>
      </c>
      <c r="N44" s="5" t="s">
        <v>877</v>
      </c>
      <c r="O44" s="5" t="s">
        <v>878</v>
      </c>
      <c r="P44" s="5" t="s">
        <v>879</v>
      </c>
      <c r="Q44" s="5" t="s">
        <v>880</v>
      </c>
      <c r="R44" s="5" t="s">
        <v>338</v>
      </c>
      <c r="S44" s="5" t="s">
        <v>881</v>
      </c>
      <c r="T44" s="5" t="s">
        <v>840</v>
      </c>
    </row>
    <row r="45" spans="1:20" ht="41.4">
      <c r="A45" s="5" t="s">
        <v>882</v>
      </c>
      <c r="B45" s="5" t="s">
        <v>883</v>
      </c>
      <c r="C45" s="5" t="s">
        <v>26</v>
      </c>
      <c r="D45" s="5" t="s">
        <v>884</v>
      </c>
      <c r="E45" s="5" t="s">
        <v>871</v>
      </c>
      <c r="F45" s="5" t="s">
        <v>885</v>
      </c>
      <c r="G45" s="5" t="s">
        <v>886</v>
      </c>
      <c r="H45" s="5" t="s">
        <v>887</v>
      </c>
      <c r="I45" s="5" t="s">
        <v>888</v>
      </c>
      <c r="J45" s="5" t="s">
        <v>889</v>
      </c>
      <c r="K45" s="5" t="s">
        <v>738</v>
      </c>
      <c r="L45" s="5" t="s">
        <v>332</v>
      </c>
      <c r="M45" s="5" t="s">
        <v>333</v>
      </c>
      <c r="N45" s="5" t="s">
        <v>890</v>
      </c>
      <c r="O45" s="5" t="s">
        <v>891</v>
      </c>
      <c r="P45" s="5" t="s">
        <v>892</v>
      </c>
      <c r="Q45" s="5" t="s">
        <v>893</v>
      </c>
      <c r="R45" s="5" t="s">
        <v>338</v>
      </c>
      <c r="S45" s="5" t="s">
        <v>894</v>
      </c>
      <c r="T45" s="5" t="s">
        <v>840</v>
      </c>
    </row>
    <row r="46" spans="1:20" ht="41.4">
      <c r="A46" s="5" t="s">
        <v>895</v>
      </c>
      <c r="B46" s="5" t="s">
        <v>896</v>
      </c>
      <c r="C46" s="5" t="s">
        <v>26</v>
      </c>
      <c r="D46" s="5" t="s">
        <v>897</v>
      </c>
      <c r="E46" s="5" t="s">
        <v>871</v>
      </c>
      <c r="F46" s="5" t="s">
        <v>898</v>
      </c>
      <c r="G46" s="5" t="s">
        <v>899</v>
      </c>
      <c r="H46" s="5" t="s">
        <v>900</v>
      </c>
      <c r="I46" s="5" t="s">
        <v>901</v>
      </c>
      <c r="J46" s="5" t="s">
        <v>902</v>
      </c>
      <c r="K46" s="5" t="s">
        <v>738</v>
      </c>
      <c r="L46" s="5" t="s">
        <v>332</v>
      </c>
      <c r="M46" s="5" t="s">
        <v>333</v>
      </c>
      <c r="N46" s="5" t="s">
        <v>903</v>
      </c>
      <c r="O46" s="5" t="s">
        <v>904</v>
      </c>
      <c r="P46" s="5" t="s">
        <v>905</v>
      </c>
      <c r="Q46" s="5" t="s">
        <v>906</v>
      </c>
      <c r="R46" s="5" t="s">
        <v>338</v>
      </c>
      <c r="S46" s="5" t="s">
        <v>907</v>
      </c>
      <c r="T46" s="5" t="s">
        <v>840</v>
      </c>
    </row>
    <row r="47" spans="1:20" ht="41.4">
      <c r="A47" s="5" t="s">
        <v>908</v>
      </c>
      <c r="B47" s="5" t="s">
        <v>909</v>
      </c>
      <c r="C47" s="5" t="s">
        <v>26</v>
      </c>
      <c r="D47" s="5" t="s">
        <v>910</v>
      </c>
      <c r="E47" s="5" t="s">
        <v>871</v>
      </c>
      <c r="F47" s="5" t="s">
        <v>911</v>
      </c>
      <c r="G47" s="5" t="s">
        <v>912</v>
      </c>
      <c r="H47" s="5" t="s">
        <v>913</v>
      </c>
      <c r="I47" s="5" t="s">
        <v>914</v>
      </c>
      <c r="J47" s="5" t="s">
        <v>915</v>
      </c>
      <c r="K47" s="5" t="s">
        <v>738</v>
      </c>
      <c r="L47" s="5" t="s">
        <v>332</v>
      </c>
      <c r="M47" s="5" t="s">
        <v>333</v>
      </c>
      <c r="N47" s="5" t="s">
        <v>916</v>
      </c>
      <c r="O47" s="5" t="s">
        <v>917</v>
      </c>
      <c r="P47" s="5" t="s">
        <v>918</v>
      </c>
      <c r="Q47" s="5" t="s">
        <v>919</v>
      </c>
      <c r="R47" s="5" t="s">
        <v>338</v>
      </c>
      <c r="S47" s="5" t="s">
        <v>920</v>
      </c>
      <c r="T47" s="5" t="s">
        <v>840</v>
      </c>
    </row>
    <row r="48" spans="1:20" ht="41.4">
      <c r="A48" s="5" t="s">
        <v>921</v>
      </c>
      <c r="B48" s="5" t="s">
        <v>922</v>
      </c>
      <c r="C48" s="5" t="s">
        <v>13</v>
      </c>
      <c r="D48" s="5" t="s">
        <v>923</v>
      </c>
      <c r="E48" s="5" t="s">
        <v>924</v>
      </c>
      <c r="F48" s="5" t="s">
        <v>925</v>
      </c>
      <c r="G48" s="5" t="s">
        <v>926</v>
      </c>
      <c r="H48" s="5" t="s">
        <v>927</v>
      </c>
      <c r="I48" s="5" t="s">
        <v>928</v>
      </c>
      <c r="J48" s="5" t="s">
        <v>929</v>
      </c>
      <c r="K48" s="5" t="s">
        <v>930</v>
      </c>
      <c r="L48" s="5" t="s">
        <v>332</v>
      </c>
      <c r="M48" s="5" t="s">
        <v>333</v>
      </c>
      <c r="N48" s="5" t="s">
        <v>931</v>
      </c>
      <c r="O48" s="5" t="s">
        <v>932</v>
      </c>
      <c r="P48" s="5" t="s">
        <v>933</v>
      </c>
      <c r="Q48" s="5" t="s">
        <v>934</v>
      </c>
      <c r="R48" s="5" t="s">
        <v>338</v>
      </c>
      <c r="S48" s="5" t="s">
        <v>339</v>
      </c>
      <c r="T48" s="5" t="s">
        <v>935</v>
      </c>
    </row>
    <row r="49" spans="1:20" ht="41.4">
      <c r="A49" s="5" t="s">
        <v>936</v>
      </c>
      <c r="B49" s="5" t="s">
        <v>937</v>
      </c>
      <c r="C49" s="5" t="s">
        <v>13</v>
      </c>
      <c r="D49" s="5" t="s">
        <v>938</v>
      </c>
      <c r="E49" s="5" t="s">
        <v>939</v>
      </c>
      <c r="F49" s="5" t="s">
        <v>940</v>
      </c>
      <c r="G49" s="5" t="s">
        <v>941</v>
      </c>
      <c r="H49" s="5" t="s">
        <v>942</v>
      </c>
      <c r="I49" s="5" t="s">
        <v>943</v>
      </c>
      <c r="J49" s="5" t="s">
        <v>944</v>
      </c>
      <c r="K49" s="5" t="s">
        <v>945</v>
      </c>
      <c r="L49" s="5" t="s">
        <v>332</v>
      </c>
      <c r="M49" s="5" t="s">
        <v>333</v>
      </c>
      <c r="N49" s="5" t="s">
        <v>946</v>
      </c>
      <c r="O49" s="5" t="s">
        <v>947</v>
      </c>
      <c r="P49" s="5" t="s">
        <v>948</v>
      </c>
      <c r="Q49" s="5" t="s">
        <v>949</v>
      </c>
      <c r="R49" s="5" t="s">
        <v>338</v>
      </c>
      <c r="S49" s="5" t="s">
        <v>339</v>
      </c>
      <c r="T49" s="5" t="s">
        <v>935</v>
      </c>
    </row>
    <row r="50" spans="1:20" ht="41.4">
      <c r="A50" s="5" t="s">
        <v>950</v>
      </c>
      <c r="B50" s="5" t="s">
        <v>951</v>
      </c>
      <c r="C50" s="5" t="s">
        <v>13</v>
      </c>
      <c r="D50" s="5" t="s">
        <v>952</v>
      </c>
      <c r="E50" s="5" t="s">
        <v>953</v>
      </c>
      <c r="F50" s="5" t="s">
        <v>954</v>
      </c>
      <c r="G50" s="5" t="s">
        <v>955</v>
      </c>
      <c r="H50" s="5" t="s">
        <v>956</v>
      </c>
      <c r="I50" s="5" t="s">
        <v>957</v>
      </c>
      <c r="J50" s="5" t="s">
        <v>958</v>
      </c>
      <c r="K50" s="5" t="s">
        <v>959</v>
      </c>
      <c r="L50" s="5" t="s">
        <v>332</v>
      </c>
      <c r="M50" s="5" t="s">
        <v>333</v>
      </c>
      <c r="N50" s="5" t="s">
        <v>960</v>
      </c>
      <c r="O50" s="5" t="s">
        <v>961</v>
      </c>
      <c r="P50" s="5" t="s">
        <v>962</v>
      </c>
      <c r="Q50" s="5" t="s">
        <v>963</v>
      </c>
      <c r="R50" s="5" t="s">
        <v>338</v>
      </c>
      <c r="S50" s="5" t="s">
        <v>339</v>
      </c>
      <c r="T50" s="5" t="s">
        <v>935</v>
      </c>
    </row>
    <row r="51" spans="1:20" ht="41.4">
      <c r="A51" s="5" t="s">
        <v>964</v>
      </c>
      <c r="B51" s="5" t="s">
        <v>965</v>
      </c>
      <c r="C51" s="5" t="s">
        <v>13</v>
      </c>
      <c r="D51" s="5" t="s">
        <v>966</v>
      </c>
      <c r="E51" s="5" t="s">
        <v>967</v>
      </c>
      <c r="F51" s="5" t="s">
        <v>968</v>
      </c>
      <c r="G51" s="5" t="s">
        <v>969</v>
      </c>
      <c r="H51" s="5" t="s">
        <v>970</v>
      </c>
      <c r="I51" s="5" t="s">
        <v>971</v>
      </c>
      <c r="J51" s="5" t="s">
        <v>972</v>
      </c>
      <c r="K51" s="5" t="s">
        <v>738</v>
      </c>
      <c r="L51" s="5" t="s">
        <v>332</v>
      </c>
      <c r="M51" s="5" t="s">
        <v>333</v>
      </c>
      <c r="N51" s="5" t="s">
        <v>973</v>
      </c>
      <c r="O51" s="5" t="s">
        <v>974</v>
      </c>
      <c r="P51" s="5" t="s">
        <v>975</v>
      </c>
      <c r="Q51" s="5" t="s">
        <v>976</v>
      </c>
      <c r="R51" s="5" t="s">
        <v>338</v>
      </c>
      <c r="S51" s="5" t="s">
        <v>977</v>
      </c>
      <c r="T51" s="5" t="s">
        <v>935</v>
      </c>
    </row>
    <row r="52" spans="1:20" ht="41.4">
      <c r="A52" s="5" t="s">
        <v>978</v>
      </c>
      <c r="B52" s="5" t="s">
        <v>979</v>
      </c>
      <c r="C52" s="5" t="s">
        <v>13</v>
      </c>
      <c r="D52" s="5" t="s">
        <v>980</v>
      </c>
      <c r="E52" s="5" t="s">
        <v>967</v>
      </c>
      <c r="F52" s="5" t="s">
        <v>981</v>
      </c>
      <c r="G52" s="5" t="s">
        <v>982</v>
      </c>
      <c r="H52" s="5" t="s">
        <v>983</v>
      </c>
      <c r="I52" s="5" t="s">
        <v>984</v>
      </c>
      <c r="J52" s="5" t="s">
        <v>985</v>
      </c>
      <c r="K52" s="5" t="s">
        <v>738</v>
      </c>
      <c r="L52" s="5" t="s">
        <v>332</v>
      </c>
      <c r="M52" s="5" t="s">
        <v>333</v>
      </c>
      <c r="N52" s="5" t="s">
        <v>986</v>
      </c>
      <c r="O52" s="5" t="s">
        <v>987</v>
      </c>
      <c r="P52" s="5" t="s">
        <v>988</v>
      </c>
      <c r="Q52" s="5" t="s">
        <v>989</v>
      </c>
      <c r="R52" s="5" t="s">
        <v>338</v>
      </c>
      <c r="S52" s="5" t="s">
        <v>990</v>
      </c>
      <c r="T52" s="5" t="s">
        <v>935</v>
      </c>
    </row>
    <row r="53" spans="1:20" ht="41.4">
      <c r="A53" s="5" t="s">
        <v>991</v>
      </c>
      <c r="B53" s="5" t="s">
        <v>992</v>
      </c>
      <c r="C53" s="5" t="s">
        <v>13</v>
      </c>
      <c r="D53" s="5" t="s">
        <v>993</v>
      </c>
      <c r="E53" s="5" t="s">
        <v>967</v>
      </c>
      <c r="F53" s="5" t="s">
        <v>994</v>
      </c>
      <c r="G53" s="5" t="s">
        <v>995</v>
      </c>
      <c r="H53" s="5" t="s">
        <v>996</v>
      </c>
      <c r="I53" s="5" t="s">
        <v>997</v>
      </c>
      <c r="J53" s="5" t="s">
        <v>998</v>
      </c>
      <c r="K53" s="5" t="s">
        <v>738</v>
      </c>
      <c r="L53" s="5" t="s">
        <v>332</v>
      </c>
      <c r="M53" s="5" t="s">
        <v>333</v>
      </c>
      <c r="N53" s="5" t="s">
        <v>999</v>
      </c>
      <c r="O53" s="5" t="s">
        <v>1000</v>
      </c>
      <c r="P53" s="5" t="s">
        <v>1001</v>
      </c>
      <c r="Q53" s="5" t="s">
        <v>1002</v>
      </c>
      <c r="R53" s="5" t="s">
        <v>338</v>
      </c>
      <c r="S53" s="5" t="s">
        <v>1003</v>
      </c>
      <c r="T53" s="5" t="s">
        <v>935</v>
      </c>
    </row>
    <row r="54" spans="1:20" ht="41.4">
      <c r="A54" s="5" t="s">
        <v>1004</v>
      </c>
      <c r="B54" s="5" t="s">
        <v>1005</v>
      </c>
      <c r="C54" s="5" t="s">
        <v>13</v>
      </c>
      <c r="D54" s="5" t="s">
        <v>1006</v>
      </c>
      <c r="E54" s="5" t="s">
        <v>967</v>
      </c>
      <c r="F54" s="5" t="s">
        <v>1007</v>
      </c>
      <c r="G54" s="5" t="s">
        <v>1008</v>
      </c>
      <c r="H54" s="5" t="s">
        <v>1009</v>
      </c>
      <c r="I54" s="5" t="s">
        <v>1010</v>
      </c>
      <c r="J54" s="5" t="s">
        <v>1011</v>
      </c>
      <c r="K54" s="5" t="s">
        <v>738</v>
      </c>
      <c r="L54" s="5" t="s">
        <v>332</v>
      </c>
      <c r="M54" s="5" t="s">
        <v>333</v>
      </c>
      <c r="N54" s="5" t="s">
        <v>1012</v>
      </c>
      <c r="O54" s="5" t="s">
        <v>436</v>
      </c>
      <c r="P54" s="5" t="s">
        <v>1013</v>
      </c>
      <c r="Q54" s="5" t="s">
        <v>1014</v>
      </c>
      <c r="R54" s="5" t="s">
        <v>338</v>
      </c>
      <c r="S54" s="5" t="s">
        <v>1015</v>
      </c>
      <c r="T54" s="5" t="s">
        <v>935</v>
      </c>
    </row>
    <row r="55" spans="1:20" ht="41.4">
      <c r="A55" s="5" t="s">
        <v>1016</v>
      </c>
      <c r="B55" s="5" t="s">
        <v>1017</v>
      </c>
      <c r="C55" s="5" t="s">
        <v>13</v>
      </c>
      <c r="D55" s="5" t="s">
        <v>1018</v>
      </c>
      <c r="E55" s="5" t="s">
        <v>967</v>
      </c>
      <c r="F55" s="5" t="s">
        <v>1019</v>
      </c>
      <c r="G55" s="5" t="s">
        <v>1020</v>
      </c>
      <c r="H55" s="5" t="s">
        <v>1021</v>
      </c>
      <c r="I55" s="5" t="s">
        <v>1022</v>
      </c>
      <c r="J55" s="5" t="s">
        <v>1023</v>
      </c>
      <c r="K55" s="5" t="s">
        <v>738</v>
      </c>
      <c r="L55" s="5" t="s">
        <v>332</v>
      </c>
      <c r="M55" s="5" t="s">
        <v>333</v>
      </c>
      <c r="N55" s="5" t="s">
        <v>1024</v>
      </c>
      <c r="O55" s="5" t="s">
        <v>1025</v>
      </c>
      <c r="P55" s="5" t="s">
        <v>1026</v>
      </c>
      <c r="Q55" s="5" t="s">
        <v>1027</v>
      </c>
      <c r="R55" s="5" t="s">
        <v>338</v>
      </c>
      <c r="S55" s="5" t="s">
        <v>1028</v>
      </c>
      <c r="T55" s="5" t="s">
        <v>935</v>
      </c>
    </row>
    <row r="56" spans="1:20" ht="41.4">
      <c r="A56" s="5" t="s">
        <v>1029</v>
      </c>
      <c r="B56" s="5" t="s">
        <v>1030</v>
      </c>
      <c r="C56" s="5" t="s">
        <v>23</v>
      </c>
      <c r="D56" s="5" t="s">
        <v>1031</v>
      </c>
      <c r="E56" s="5" t="s">
        <v>1032</v>
      </c>
      <c r="F56" s="5" t="s">
        <v>1033</v>
      </c>
      <c r="G56" s="5" t="s">
        <v>1034</v>
      </c>
      <c r="H56" s="5" t="s">
        <v>1035</v>
      </c>
      <c r="I56" s="5" t="s">
        <v>1036</v>
      </c>
      <c r="J56" s="5" t="s">
        <v>1037</v>
      </c>
      <c r="K56" s="5" t="s">
        <v>1038</v>
      </c>
      <c r="L56" s="5" t="s">
        <v>332</v>
      </c>
      <c r="M56" s="5" t="s">
        <v>333</v>
      </c>
      <c r="N56" s="5" t="s">
        <v>1039</v>
      </c>
      <c r="O56" s="5" t="s">
        <v>1040</v>
      </c>
      <c r="P56" s="5" t="s">
        <v>1041</v>
      </c>
      <c r="Q56" s="5" t="s">
        <v>1042</v>
      </c>
      <c r="R56" s="5" t="s">
        <v>338</v>
      </c>
      <c r="S56" s="5" t="s">
        <v>339</v>
      </c>
      <c r="T56" s="5" t="s">
        <v>1043</v>
      </c>
    </row>
    <row r="57" spans="1:20" ht="41.4">
      <c r="A57" s="5" t="s">
        <v>1044</v>
      </c>
      <c r="B57" s="5" t="s">
        <v>1045</v>
      </c>
      <c r="C57" s="5" t="s">
        <v>23</v>
      </c>
      <c r="D57" s="5" t="s">
        <v>1046</v>
      </c>
      <c r="E57" s="5" t="s">
        <v>1047</v>
      </c>
      <c r="F57" s="5" t="s">
        <v>1048</v>
      </c>
      <c r="G57" s="5" t="s">
        <v>1049</v>
      </c>
      <c r="H57" s="5" t="s">
        <v>1050</v>
      </c>
      <c r="I57" s="5" t="s">
        <v>1051</v>
      </c>
      <c r="J57" s="5" t="s">
        <v>1052</v>
      </c>
      <c r="K57" s="5" t="s">
        <v>1053</v>
      </c>
      <c r="L57" s="5" t="s">
        <v>332</v>
      </c>
      <c r="M57" s="5" t="s">
        <v>333</v>
      </c>
      <c r="N57" s="5" t="s">
        <v>1054</v>
      </c>
      <c r="O57" s="5" t="s">
        <v>1055</v>
      </c>
      <c r="P57" s="5" t="s">
        <v>1056</v>
      </c>
      <c r="Q57" s="5" t="s">
        <v>1057</v>
      </c>
      <c r="R57" s="5" t="s">
        <v>338</v>
      </c>
      <c r="S57" s="5" t="s">
        <v>339</v>
      </c>
      <c r="T57" s="5" t="s">
        <v>1043</v>
      </c>
    </row>
    <row r="58" spans="1:20" ht="41.4">
      <c r="A58" s="5" t="s">
        <v>1058</v>
      </c>
      <c r="B58" s="5" t="s">
        <v>1059</v>
      </c>
      <c r="C58" s="5" t="s">
        <v>23</v>
      </c>
      <c r="D58" s="5" t="s">
        <v>1060</v>
      </c>
      <c r="E58" s="5" t="s">
        <v>1061</v>
      </c>
      <c r="F58" s="5" t="s">
        <v>1062</v>
      </c>
      <c r="G58" s="5" t="s">
        <v>1063</v>
      </c>
      <c r="H58" s="5" t="s">
        <v>1064</v>
      </c>
      <c r="I58" s="5" t="s">
        <v>1065</v>
      </c>
      <c r="J58" s="5" t="s">
        <v>1066</v>
      </c>
      <c r="K58" s="5" t="s">
        <v>1067</v>
      </c>
      <c r="L58" s="5" t="s">
        <v>332</v>
      </c>
      <c r="M58" s="5" t="s">
        <v>333</v>
      </c>
      <c r="N58" s="5" t="s">
        <v>1068</v>
      </c>
      <c r="O58" s="5" t="s">
        <v>1069</v>
      </c>
      <c r="P58" s="5" t="s">
        <v>1070</v>
      </c>
      <c r="Q58" s="5" t="s">
        <v>1071</v>
      </c>
      <c r="R58" s="5" t="s">
        <v>338</v>
      </c>
      <c r="S58" s="5" t="s">
        <v>339</v>
      </c>
      <c r="T58" s="5" t="s">
        <v>1043</v>
      </c>
    </row>
    <row r="59" spans="1:20" ht="41.4">
      <c r="A59" s="5" t="s">
        <v>1072</v>
      </c>
      <c r="B59" s="5" t="s">
        <v>1073</v>
      </c>
      <c r="C59" s="5" t="s">
        <v>23</v>
      </c>
      <c r="D59" s="5" t="s">
        <v>1074</v>
      </c>
      <c r="E59" s="5" t="s">
        <v>1075</v>
      </c>
      <c r="F59" s="5" t="s">
        <v>1076</v>
      </c>
      <c r="G59" s="5" t="s">
        <v>1077</v>
      </c>
      <c r="H59" s="5" t="s">
        <v>1078</v>
      </c>
      <c r="I59" s="5" t="s">
        <v>1079</v>
      </c>
      <c r="J59" s="5" t="s">
        <v>1080</v>
      </c>
      <c r="K59" s="5" t="s">
        <v>738</v>
      </c>
      <c r="L59" s="5" t="s">
        <v>332</v>
      </c>
      <c r="M59" s="5" t="s">
        <v>333</v>
      </c>
      <c r="N59" s="5" t="s">
        <v>1081</v>
      </c>
      <c r="O59" s="5" t="s">
        <v>1082</v>
      </c>
      <c r="P59" s="5" t="s">
        <v>1083</v>
      </c>
      <c r="Q59" s="5" t="s">
        <v>1084</v>
      </c>
      <c r="R59" s="5" t="s">
        <v>338</v>
      </c>
      <c r="S59" s="5" t="s">
        <v>1085</v>
      </c>
      <c r="T59" s="5" t="s">
        <v>1043</v>
      </c>
    </row>
    <row r="60" spans="1:20" ht="41.4">
      <c r="A60" s="5" t="s">
        <v>1086</v>
      </c>
      <c r="B60" s="5" t="s">
        <v>1087</v>
      </c>
      <c r="C60" s="5" t="s">
        <v>23</v>
      </c>
      <c r="D60" s="5" t="s">
        <v>1088</v>
      </c>
      <c r="E60" s="5" t="s">
        <v>1075</v>
      </c>
      <c r="F60" s="5" t="s">
        <v>1089</v>
      </c>
      <c r="G60" s="5" t="s">
        <v>1090</v>
      </c>
      <c r="H60" s="5" t="s">
        <v>1091</v>
      </c>
      <c r="I60" s="5" t="s">
        <v>1092</v>
      </c>
      <c r="J60" s="5" t="s">
        <v>1093</v>
      </c>
      <c r="K60" s="5" t="s">
        <v>738</v>
      </c>
      <c r="L60" s="5" t="s">
        <v>332</v>
      </c>
      <c r="M60" s="5" t="s">
        <v>333</v>
      </c>
      <c r="N60" s="5" t="s">
        <v>1094</v>
      </c>
      <c r="O60" s="5" t="s">
        <v>1095</v>
      </c>
      <c r="P60" s="5" t="s">
        <v>1096</v>
      </c>
      <c r="Q60" s="5" t="s">
        <v>1097</v>
      </c>
      <c r="R60" s="5" t="s">
        <v>338</v>
      </c>
      <c r="S60" s="5" t="s">
        <v>1098</v>
      </c>
      <c r="T60" s="5" t="s">
        <v>1043</v>
      </c>
    </row>
    <row r="61" spans="1:20" ht="41.4">
      <c r="A61" s="5" t="s">
        <v>1099</v>
      </c>
      <c r="B61" s="5" t="s">
        <v>1100</v>
      </c>
      <c r="C61" s="5" t="s">
        <v>23</v>
      </c>
      <c r="D61" s="5" t="s">
        <v>1101</v>
      </c>
      <c r="E61" s="5" t="s">
        <v>1075</v>
      </c>
      <c r="F61" s="5" t="s">
        <v>1102</v>
      </c>
      <c r="G61" s="5" t="s">
        <v>1103</v>
      </c>
      <c r="H61" s="5" t="s">
        <v>1104</v>
      </c>
      <c r="I61" s="5" t="s">
        <v>1105</v>
      </c>
      <c r="J61" s="5" t="s">
        <v>1106</v>
      </c>
      <c r="K61" s="5" t="s">
        <v>738</v>
      </c>
      <c r="L61" s="5" t="s">
        <v>332</v>
      </c>
      <c r="M61" s="5" t="s">
        <v>333</v>
      </c>
      <c r="N61" s="5" t="s">
        <v>1107</v>
      </c>
      <c r="O61" s="5" t="s">
        <v>1108</v>
      </c>
      <c r="P61" s="5" t="s">
        <v>1109</v>
      </c>
      <c r="Q61" s="5" t="s">
        <v>1110</v>
      </c>
      <c r="R61" s="5" t="s">
        <v>338</v>
      </c>
      <c r="S61" s="5" t="s">
        <v>1111</v>
      </c>
      <c r="T61" s="5" t="s">
        <v>1043</v>
      </c>
    </row>
    <row r="62" spans="1:20" ht="41.4">
      <c r="A62" s="5" t="s">
        <v>1112</v>
      </c>
      <c r="B62" s="5" t="s">
        <v>1113</v>
      </c>
      <c r="C62" s="5" t="s">
        <v>15</v>
      </c>
      <c r="D62" s="5" t="s">
        <v>1114</v>
      </c>
      <c r="E62" s="5" t="s">
        <v>1115</v>
      </c>
      <c r="F62" s="5" t="s">
        <v>1116</v>
      </c>
      <c r="G62" s="5" t="s">
        <v>1117</v>
      </c>
      <c r="H62" s="5" t="s">
        <v>1118</v>
      </c>
      <c r="I62" s="5" t="s">
        <v>1119</v>
      </c>
      <c r="J62" s="5" t="s">
        <v>1120</v>
      </c>
      <c r="K62" s="5" t="s">
        <v>1121</v>
      </c>
      <c r="L62" s="5" t="s">
        <v>332</v>
      </c>
      <c r="M62" s="5" t="s">
        <v>333</v>
      </c>
      <c r="N62" s="5" t="s">
        <v>1122</v>
      </c>
      <c r="O62" s="5" t="s">
        <v>1123</v>
      </c>
      <c r="P62" s="5" t="s">
        <v>1124</v>
      </c>
      <c r="Q62" s="5" t="s">
        <v>1125</v>
      </c>
      <c r="R62" s="5" t="s">
        <v>338</v>
      </c>
      <c r="S62" s="5" t="s">
        <v>339</v>
      </c>
      <c r="T62" s="5" t="s">
        <v>1126</v>
      </c>
    </row>
    <row r="63" spans="1:20" ht="41.4">
      <c r="A63" s="5" t="s">
        <v>1127</v>
      </c>
      <c r="B63" s="5" t="s">
        <v>1128</v>
      </c>
      <c r="C63" s="5" t="s">
        <v>15</v>
      </c>
      <c r="D63" s="5" t="s">
        <v>1129</v>
      </c>
      <c r="E63" s="5" t="s">
        <v>1130</v>
      </c>
      <c r="F63" s="5" t="s">
        <v>1131</v>
      </c>
      <c r="G63" s="5" t="s">
        <v>1132</v>
      </c>
      <c r="H63" s="5" t="s">
        <v>1133</v>
      </c>
      <c r="I63" s="5" t="s">
        <v>1134</v>
      </c>
      <c r="J63" s="5" t="s">
        <v>1135</v>
      </c>
      <c r="K63" s="5" t="s">
        <v>1136</v>
      </c>
      <c r="L63" s="5" t="s">
        <v>332</v>
      </c>
      <c r="M63" s="5" t="s">
        <v>333</v>
      </c>
      <c r="N63" s="5" t="s">
        <v>1137</v>
      </c>
      <c r="O63" s="5" t="s">
        <v>1138</v>
      </c>
      <c r="P63" s="5" t="s">
        <v>1139</v>
      </c>
      <c r="Q63" s="5" t="s">
        <v>1140</v>
      </c>
      <c r="R63" s="5" t="s">
        <v>338</v>
      </c>
      <c r="S63" s="5" t="s">
        <v>339</v>
      </c>
      <c r="T63" s="5" t="s">
        <v>1126</v>
      </c>
    </row>
    <row r="64" spans="1:20" ht="41.4">
      <c r="A64" s="5" t="s">
        <v>1141</v>
      </c>
      <c r="B64" s="5" t="s">
        <v>1142</v>
      </c>
      <c r="C64" s="5" t="s">
        <v>15</v>
      </c>
      <c r="D64" s="5" t="s">
        <v>1143</v>
      </c>
      <c r="E64" s="5" t="s">
        <v>1144</v>
      </c>
      <c r="F64" s="5" t="s">
        <v>1145</v>
      </c>
      <c r="G64" s="5" t="s">
        <v>1146</v>
      </c>
      <c r="H64" s="5" t="s">
        <v>1147</v>
      </c>
      <c r="I64" s="5" t="s">
        <v>1148</v>
      </c>
      <c r="J64" s="5" t="s">
        <v>1149</v>
      </c>
      <c r="K64" s="5" t="s">
        <v>1150</v>
      </c>
      <c r="L64" s="5" t="s">
        <v>332</v>
      </c>
      <c r="M64" s="5" t="s">
        <v>333</v>
      </c>
      <c r="N64" s="5" t="s">
        <v>1151</v>
      </c>
      <c r="O64" s="5" t="s">
        <v>1152</v>
      </c>
      <c r="P64" s="5" t="s">
        <v>1153</v>
      </c>
      <c r="Q64" s="5" t="s">
        <v>1154</v>
      </c>
      <c r="R64" s="5" t="s">
        <v>338</v>
      </c>
      <c r="S64" s="5" t="s">
        <v>339</v>
      </c>
      <c r="T64" s="5" t="s">
        <v>1126</v>
      </c>
    </row>
    <row r="65" spans="1:20" ht="41.4">
      <c r="A65" s="5" t="s">
        <v>1155</v>
      </c>
      <c r="B65" s="5" t="s">
        <v>1156</v>
      </c>
      <c r="C65" s="5" t="s">
        <v>15</v>
      </c>
      <c r="D65" s="5" t="s">
        <v>1157</v>
      </c>
      <c r="E65" s="5" t="s">
        <v>1158</v>
      </c>
      <c r="F65" s="5" t="s">
        <v>1159</v>
      </c>
      <c r="G65" s="5" t="s">
        <v>1160</v>
      </c>
      <c r="H65" s="5" t="s">
        <v>1161</v>
      </c>
      <c r="I65" s="5" t="s">
        <v>1162</v>
      </c>
      <c r="J65" s="5" t="s">
        <v>1163</v>
      </c>
      <c r="K65" s="5" t="s">
        <v>738</v>
      </c>
      <c r="L65" s="5" t="s">
        <v>332</v>
      </c>
      <c r="M65" s="5" t="s">
        <v>333</v>
      </c>
      <c r="N65" s="5" t="s">
        <v>1164</v>
      </c>
      <c r="O65" s="5" t="s">
        <v>1165</v>
      </c>
      <c r="P65" s="5" t="s">
        <v>1166</v>
      </c>
      <c r="Q65" s="5" t="s">
        <v>1167</v>
      </c>
      <c r="R65" s="5" t="s">
        <v>338</v>
      </c>
      <c r="S65" s="5" t="s">
        <v>1168</v>
      </c>
      <c r="T65" s="5" t="s">
        <v>1126</v>
      </c>
    </row>
    <row r="66" spans="1:20" ht="41.4">
      <c r="A66" s="5" t="s">
        <v>1169</v>
      </c>
      <c r="B66" s="5" t="s">
        <v>1170</v>
      </c>
      <c r="C66" s="5" t="s">
        <v>15</v>
      </c>
      <c r="D66" s="5" t="s">
        <v>1171</v>
      </c>
      <c r="E66" s="5" t="s">
        <v>1158</v>
      </c>
      <c r="F66" s="5" t="s">
        <v>1172</v>
      </c>
      <c r="G66" s="5" t="s">
        <v>1173</v>
      </c>
      <c r="H66" s="5" t="s">
        <v>1174</v>
      </c>
      <c r="I66" s="5" t="s">
        <v>1175</v>
      </c>
      <c r="J66" s="5" t="s">
        <v>1176</v>
      </c>
      <c r="K66" s="5" t="s">
        <v>738</v>
      </c>
      <c r="L66" s="5" t="s">
        <v>332</v>
      </c>
      <c r="M66" s="5" t="s">
        <v>333</v>
      </c>
      <c r="N66" s="5" t="s">
        <v>1177</v>
      </c>
      <c r="O66" s="5" t="s">
        <v>1178</v>
      </c>
      <c r="P66" s="5" t="s">
        <v>1179</v>
      </c>
      <c r="Q66" s="5" t="s">
        <v>1180</v>
      </c>
      <c r="R66" s="5" t="s">
        <v>338</v>
      </c>
      <c r="S66" s="5" t="s">
        <v>1181</v>
      </c>
      <c r="T66" s="5" t="s">
        <v>1126</v>
      </c>
    </row>
    <row r="67" spans="1:20" ht="41.4">
      <c r="A67" s="5" t="s">
        <v>1182</v>
      </c>
      <c r="B67" s="5" t="s">
        <v>1183</v>
      </c>
      <c r="C67" s="5" t="s">
        <v>15</v>
      </c>
      <c r="D67" s="5" t="s">
        <v>1184</v>
      </c>
      <c r="E67" s="5" t="s">
        <v>1158</v>
      </c>
      <c r="F67" s="5" t="s">
        <v>1185</v>
      </c>
      <c r="G67" s="5" t="s">
        <v>1186</v>
      </c>
      <c r="H67" s="5" t="s">
        <v>1187</v>
      </c>
      <c r="I67" s="5" t="s">
        <v>1188</v>
      </c>
      <c r="J67" s="5" t="s">
        <v>1189</v>
      </c>
      <c r="K67" s="5" t="s">
        <v>738</v>
      </c>
      <c r="L67" s="5" t="s">
        <v>332</v>
      </c>
      <c r="M67" s="5" t="s">
        <v>333</v>
      </c>
      <c r="N67" s="5" t="s">
        <v>1190</v>
      </c>
      <c r="O67" s="5" t="s">
        <v>1191</v>
      </c>
      <c r="P67" s="5" t="s">
        <v>1192</v>
      </c>
      <c r="Q67" s="5" t="s">
        <v>1193</v>
      </c>
      <c r="R67" s="5" t="s">
        <v>338</v>
      </c>
      <c r="S67" s="5" t="s">
        <v>1194</v>
      </c>
      <c r="T67" s="5" t="s">
        <v>1126</v>
      </c>
    </row>
    <row r="68" spans="1:20" ht="41.4">
      <c r="A68" s="5" t="s">
        <v>1195</v>
      </c>
      <c r="B68" s="5" t="s">
        <v>1196</v>
      </c>
      <c r="C68" s="5" t="s">
        <v>15</v>
      </c>
      <c r="D68" s="5" t="s">
        <v>1197</v>
      </c>
      <c r="E68" s="5" t="s">
        <v>1158</v>
      </c>
      <c r="F68" s="5" t="s">
        <v>1198</v>
      </c>
      <c r="G68" s="5" t="s">
        <v>1199</v>
      </c>
      <c r="H68" s="5" t="s">
        <v>1200</v>
      </c>
      <c r="I68" s="5" t="s">
        <v>1201</v>
      </c>
      <c r="J68" s="5" t="s">
        <v>1202</v>
      </c>
      <c r="K68" s="5" t="s">
        <v>738</v>
      </c>
      <c r="L68" s="5" t="s">
        <v>332</v>
      </c>
      <c r="M68" s="5" t="s">
        <v>333</v>
      </c>
      <c r="N68" s="5" t="s">
        <v>1203</v>
      </c>
      <c r="O68" s="5" t="s">
        <v>1204</v>
      </c>
      <c r="P68" s="5" t="s">
        <v>1205</v>
      </c>
      <c r="Q68" s="5" t="s">
        <v>1206</v>
      </c>
      <c r="R68" s="5" t="s">
        <v>338</v>
      </c>
      <c r="S68" s="5" t="s">
        <v>1207</v>
      </c>
      <c r="T68" s="5" t="s">
        <v>1126</v>
      </c>
    </row>
    <row r="69" spans="1:20" ht="41.4">
      <c r="A69" s="5" t="s">
        <v>1208</v>
      </c>
      <c r="B69" s="5" t="s">
        <v>1209</v>
      </c>
      <c r="C69" s="5" t="s">
        <v>11</v>
      </c>
      <c r="D69" s="5" t="s">
        <v>1210</v>
      </c>
      <c r="E69" s="5" t="s">
        <v>1211</v>
      </c>
      <c r="F69" s="5" t="s">
        <v>1212</v>
      </c>
      <c r="G69" s="5" t="s">
        <v>1213</v>
      </c>
      <c r="H69" s="5" t="s">
        <v>1214</v>
      </c>
      <c r="I69" s="5" t="s">
        <v>1215</v>
      </c>
      <c r="J69" s="5" t="s">
        <v>1216</v>
      </c>
      <c r="K69" s="5" t="s">
        <v>1217</v>
      </c>
      <c r="L69" s="5" t="s">
        <v>332</v>
      </c>
      <c r="M69" s="5" t="s">
        <v>333</v>
      </c>
      <c r="N69" s="5" t="s">
        <v>1218</v>
      </c>
      <c r="O69" s="5" t="s">
        <v>1219</v>
      </c>
      <c r="P69" s="5" t="s">
        <v>1220</v>
      </c>
      <c r="Q69" s="5" t="s">
        <v>1221</v>
      </c>
      <c r="R69" s="5" t="s">
        <v>338</v>
      </c>
      <c r="S69" s="5" t="s">
        <v>339</v>
      </c>
      <c r="T69" s="5" t="s">
        <v>1222</v>
      </c>
    </row>
    <row r="70" spans="1:20" ht="41.4">
      <c r="A70" s="5" t="s">
        <v>1223</v>
      </c>
      <c r="B70" s="5" t="s">
        <v>1224</v>
      </c>
      <c r="C70" s="5" t="s">
        <v>11</v>
      </c>
      <c r="D70" s="5" t="s">
        <v>1225</v>
      </c>
      <c r="E70" s="5" t="s">
        <v>1226</v>
      </c>
      <c r="F70" s="5" t="s">
        <v>1227</v>
      </c>
      <c r="G70" s="5" t="s">
        <v>1228</v>
      </c>
      <c r="H70" s="5" t="s">
        <v>1229</v>
      </c>
      <c r="I70" s="5" t="s">
        <v>1230</v>
      </c>
      <c r="J70" s="5" t="s">
        <v>1231</v>
      </c>
      <c r="K70" s="5" t="s">
        <v>1232</v>
      </c>
      <c r="L70" s="5" t="s">
        <v>332</v>
      </c>
      <c r="M70" s="5" t="s">
        <v>333</v>
      </c>
      <c r="N70" s="5" t="s">
        <v>1233</v>
      </c>
      <c r="O70" s="5" t="s">
        <v>1234</v>
      </c>
      <c r="P70" s="5" t="s">
        <v>1235</v>
      </c>
      <c r="Q70" s="5" t="s">
        <v>1236</v>
      </c>
      <c r="R70" s="5" t="s">
        <v>338</v>
      </c>
      <c r="S70" s="5" t="s">
        <v>339</v>
      </c>
      <c r="T70" s="5" t="s">
        <v>1222</v>
      </c>
    </row>
    <row r="71" spans="1:20" ht="41.4">
      <c r="A71" s="5" t="s">
        <v>1237</v>
      </c>
      <c r="B71" s="5" t="s">
        <v>1238</v>
      </c>
      <c r="C71" s="5" t="s">
        <v>11</v>
      </c>
      <c r="D71" s="5" t="s">
        <v>1239</v>
      </c>
      <c r="E71" s="5" t="s">
        <v>1240</v>
      </c>
      <c r="F71" s="5" t="s">
        <v>1241</v>
      </c>
      <c r="G71" s="5" t="s">
        <v>1242</v>
      </c>
      <c r="H71" s="5" t="s">
        <v>1243</v>
      </c>
      <c r="I71" s="5" t="s">
        <v>1244</v>
      </c>
      <c r="J71" s="5" t="s">
        <v>1245</v>
      </c>
      <c r="K71" s="5" t="s">
        <v>1246</v>
      </c>
      <c r="L71" s="5" t="s">
        <v>332</v>
      </c>
      <c r="M71" s="5" t="s">
        <v>333</v>
      </c>
      <c r="N71" s="5" t="s">
        <v>1247</v>
      </c>
      <c r="O71" s="5" t="s">
        <v>1248</v>
      </c>
      <c r="P71" s="5" t="s">
        <v>1249</v>
      </c>
      <c r="Q71" s="5" t="s">
        <v>1250</v>
      </c>
      <c r="R71" s="5" t="s">
        <v>338</v>
      </c>
      <c r="S71" s="5" t="s">
        <v>339</v>
      </c>
      <c r="T71" s="5" t="s">
        <v>1222</v>
      </c>
    </row>
    <row r="72" spans="1:20" ht="41.4">
      <c r="A72" s="5" t="s">
        <v>1251</v>
      </c>
      <c r="B72" s="5" t="s">
        <v>1252</v>
      </c>
      <c r="C72" s="5" t="s">
        <v>11</v>
      </c>
      <c r="D72" s="5" t="s">
        <v>1253</v>
      </c>
      <c r="E72" s="5" t="s">
        <v>1254</v>
      </c>
      <c r="F72" s="5" t="s">
        <v>1255</v>
      </c>
      <c r="G72" s="5" t="s">
        <v>1256</v>
      </c>
      <c r="H72" s="5" t="s">
        <v>1257</v>
      </c>
      <c r="I72" s="5" t="s">
        <v>1258</v>
      </c>
      <c r="J72" s="5" t="s">
        <v>1259</v>
      </c>
      <c r="K72" s="5" t="s">
        <v>738</v>
      </c>
      <c r="L72" s="5" t="s">
        <v>332</v>
      </c>
      <c r="M72" s="5" t="s">
        <v>333</v>
      </c>
      <c r="N72" s="5" t="s">
        <v>1260</v>
      </c>
      <c r="O72" s="5" t="s">
        <v>1261</v>
      </c>
      <c r="P72" s="5" t="s">
        <v>1262</v>
      </c>
      <c r="Q72" s="5" t="s">
        <v>1263</v>
      </c>
      <c r="R72" s="5" t="s">
        <v>338</v>
      </c>
      <c r="S72" s="5" t="s">
        <v>1264</v>
      </c>
      <c r="T72" s="5" t="s">
        <v>1222</v>
      </c>
    </row>
    <row r="73" spans="1:20" ht="41.4">
      <c r="A73" s="5" t="s">
        <v>1265</v>
      </c>
      <c r="B73" s="5" t="s">
        <v>1266</v>
      </c>
      <c r="C73" s="5" t="s">
        <v>11</v>
      </c>
      <c r="D73" s="5" t="s">
        <v>1267</v>
      </c>
      <c r="E73" s="5" t="s">
        <v>1254</v>
      </c>
      <c r="F73" s="5" t="s">
        <v>1268</v>
      </c>
      <c r="G73" s="5" t="s">
        <v>1269</v>
      </c>
      <c r="H73" s="5" t="s">
        <v>1270</v>
      </c>
      <c r="I73" s="5" t="s">
        <v>1271</v>
      </c>
      <c r="J73" s="5" t="s">
        <v>1272</v>
      </c>
      <c r="K73" s="5" t="s">
        <v>738</v>
      </c>
      <c r="L73" s="5" t="s">
        <v>332</v>
      </c>
      <c r="M73" s="5" t="s">
        <v>333</v>
      </c>
      <c r="N73" s="5" t="s">
        <v>1273</v>
      </c>
      <c r="O73" s="5" t="s">
        <v>1274</v>
      </c>
      <c r="P73" s="5" t="s">
        <v>1275</v>
      </c>
      <c r="Q73" s="5" t="s">
        <v>1276</v>
      </c>
      <c r="R73" s="5" t="s">
        <v>338</v>
      </c>
      <c r="S73" s="5" t="s">
        <v>1277</v>
      </c>
      <c r="T73" s="5" t="s">
        <v>1222</v>
      </c>
    </row>
    <row r="74" spans="1:20" ht="41.4">
      <c r="A74" s="5" t="s">
        <v>1278</v>
      </c>
      <c r="B74" s="5" t="s">
        <v>1279</v>
      </c>
      <c r="C74" s="5" t="s">
        <v>11</v>
      </c>
      <c r="D74" s="5" t="s">
        <v>1280</v>
      </c>
      <c r="E74" s="5" t="s">
        <v>1254</v>
      </c>
      <c r="F74" s="5" t="s">
        <v>1281</v>
      </c>
      <c r="G74" s="5" t="s">
        <v>1282</v>
      </c>
      <c r="H74" s="5" t="s">
        <v>1283</v>
      </c>
      <c r="I74" s="5" t="s">
        <v>1284</v>
      </c>
      <c r="J74" s="5" t="s">
        <v>1285</v>
      </c>
      <c r="K74" s="5" t="s">
        <v>738</v>
      </c>
      <c r="L74" s="5" t="s">
        <v>332</v>
      </c>
      <c r="M74" s="5" t="s">
        <v>333</v>
      </c>
      <c r="N74" s="5" t="s">
        <v>1286</v>
      </c>
      <c r="O74" s="5" t="s">
        <v>1287</v>
      </c>
      <c r="P74" s="5" t="s">
        <v>1288</v>
      </c>
      <c r="Q74" s="5" t="s">
        <v>1289</v>
      </c>
      <c r="R74" s="5" t="s">
        <v>338</v>
      </c>
      <c r="S74" s="5" t="s">
        <v>1290</v>
      </c>
      <c r="T74" s="5" t="s">
        <v>1222</v>
      </c>
    </row>
    <row r="75" spans="1:20" ht="41.4">
      <c r="A75" s="5" t="s">
        <v>1291</v>
      </c>
      <c r="B75" s="5" t="s">
        <v>1292</v>
      </c>
      <c r="C75" s="5" t="s">
        <v>11</v>
      </c>
      <c r="D75" s="5" t="s">
        <v>1293</v>
      </c>
      <c r="E75" s="5" t="s">
        <v>1254</v>
      </c>
      <c r="F75" s="5" t="s">
        <v>1294</v>
      </c>
      <c r="G75" s="5" t="s">
        <v>1295</v>
      </c>
      <c r="H75" s="5" t="s">
        <v>1296</v>
      </c>
      <c r="I75" s="5" t="s">
        <v>1297</v>
      </c>
      <c r="J75" s="5" t="s">
        <v>1298</v>
      </c>
      <c r="K75" s="5" t="s">
        <v>738</v>
      </c>
      <c r="L75" s="5" t="s">
        <v>332</v>
      </c>
      <c r="M75" s="5" t="s">
        <v>333</v>
      </c>
      <c r="N75" s="5" t="s">
        <v>1299</v>
      </c>
      <c r="O75" s="5" t="s">
        <v>1300</v>
      </c>
      <c r="P75" s="5" t="s">
        <v>1301</v>
      </c>
      <c r="Q75" s="5" t="s">
        <v>1302</v>
      </c>
      <c r="R75" s="5" t="s">
        <v>338</v>
      </c>
      <c r="S75" s="5" t="s">
        <v>1303</v>
      </c>
      <c r="T75" s="5" t="s">
        <v>1222</v>
      </c>
    </row>
    <row r="76" spans="1:20" ht="41.4">
      <c r="A76" s="5" t="s">
        <v>1304</v>
      </c>
      <c r="B76" s="5" t="s">
        <v>1305</v>
      </c>
      <c r="C76" s="5" t="s">
        <v>32</v>
      </c>
      <c r="D76" s="5" t="s">
        <v>1306</v>
      </c>
      <c r="E76" s="5" t="s">
        <v>1307</v>
      </c>
      <c r="F76" s="5" t="s">
        <v>1308</v>
      </c>
      <c r="G76" s="5" t="s">
        <v>1309</v>
      </c>
      <c r="H76" s="5" t="s">
        <v>1310</v>
      </c>
      <c r="I76" s="5" t="s">
        <v>1311</v>
      </c>
      <c r="J76" s="5" t="s">
        <v>1312</v>
      </c>
      <c r="K76" s="5" t="s">
        <v>1313</v>
      </c>
      <c r="L76" s="5" t="s">
        <v>332</v>
      </c>
      <c r="M76" s="5" t="s">
        <v>333</v>
      </c>
      <c r="N76" s="5" t="s">
        <v>1314</v>
      </c>
      <c r="O76" s="5" t="s">
        <v>1315</v>
      </c>
      <c r="P76" s="5" t="s">
        <v>1316</v>
      </c>
      <c r="Q76" s="5" t="s">
        <v>1317</v>
      </c>
      <c r="R76" s="5" t="s">
        <v>338</v>
      </c>
      <c r="S76" s="5" t="s">
        <v>339</v>
      </c>
      <c r="T76" s="5" t="s">
        <v>1318</v>
      </c>
    </row>
    <row r="77" spans="1:20" ht="41.4">
      <c r="A77" s="5" t="s">
        <v>1319</v>
      </c>
      <c r="B77" s="5" t="s">
        <v>1320</v>
      </c>
      <c r="C77" s="5" t="s">
        <v>32</v>
      </c>
      <c r="D77" s="5" t="s">
        <v>1321</v>
      </c>
      <c r="E77" s="5" t="s">
        <v>1322</v>
      </c>
      <c r="F77" s="5" t="s">
        <v>1323</v>
      </c>
      <c r="G77" s="5" t="s">
        <v>1324</v>
      </c>
      <c r="H77" s="5" t="s">
        <v>1325</v>
      </c>
      <c r="I77" s="5" t="s">
        <v>1326</v>
      </c>
      <c r="J77" s="5" t="s">
        <v>1327</v>
      </c>
      <c r="K77" s="5" t="s">
        <v>1328</v>
      </c>
      <c r="L77" s="5" t="s">
        <v>332</v>
      </c>
      <c r="M77" s="5" t="s">
        <v>333</v>
      </c>
      <c r="N77" s="5" t="s">
        <v>1329</v>
      </c>
      <c r="O77" s="5" t="s">
        <v>1330</v>
      </c>
      <c r="P77" s="5" t="s">
        <v>1331</v>
      </c>
      <c r="Q77" s="5" t="s">
        <v>1332</v>
      </c>
      <c r="R77" s="5" t="s">
        <v>338</v>
      </c>
      <c r="S77" s="5" t="s">
        <v>339</v>
      </c>
      <c r="T77" s="5" t="s">
        <v>1318</v>
      </c>
    </row>
    <row r="78" spans="1:20" ht="41.4">
      <c r="A78" s="5" t="s">
        <v>1333</v>
      </c>
      <c r="B78" s="5" t="s">
        <v>1334</v>
      </c>
      <c r="C78" s="5" t="s">
        <v>32</v>
      </c>
      <c r="D78" s="5" t="s">
        <v>1335</v>
      </c>
      <c r="E78" s="5" t="s">
        <v>1336</v>
      </c>
      <c r="F78" s="5" t="s">
        <v>1337</v>
      </c>
      <c r="G78" s="5" t="s">
        <v>1338</v>
      </c>
      <c r="H78" s="5" t="s">
        <v>1339</v>
      </c>
      <c r="I78" s="5" t="s">
        <v>1340</v>
      </c>
      <c r="J78" s="5" t="s">
        <v>1341</v>
      </c>
      <c r="K78" s="5" t="s">
        <v>1342</v>
      </c>
      <c r="L78" s="5" t="s">
        <v>332</v>
      </c>
      <c r="M78" s="5" t="s">
        <v>333</v>
      </c>
      <c r="N78" s="5" t="s">
        <v>1343</v>
      </c>
      <c r="O78" s="5" t="s">
        <v>1344</v>
      </c>
      <c r="P78" s="5" t="s">
        <v>1345</v>
      </c>
      <c r="Q78" s="5" t="s">
        <v>1346</v>
      </c>
      <c r="R78" s="5" t="s">
        <v>338</v>
      </c>
      <c r="S78" s="5" t="s">
        <v>339</v>
      </c>
      <c r="T78" s="5" t="s">
        <v>1318</v>
      </c>
    </row>
    <row r="79" spans="1:20" ht="41.4">
      <c r="A79" s="5" t="s">
        <v>1347</v>
      </c>
      <c r="B79" s="5" t="s">
        <v>1348</v>
      </c>
      <c r="C79" s="5" t="s">
        <v>32</v>
      </c>
      <c r="D79" s="5" t="s">
        <v>1349</v>
      </c>
      <c r="E79" s="5" t="s">
        <v>1350</v>
      </c>
      <c r="F79" s="5" t="s">
        <v>1351</v>
      </c>
      <c r="G79" s="5" t="s">
        <v>1352</v>
      </c>
      <c r="H79" s="5" t="s">
        <v>1353</v>
      </c>
      <c r="I79" s="5" t="s">
        <v>1354</v>
      </c>
      <c r="J79" s="5" t="s">
        <v>1355</v>
      </c>
      <c r="K79" s="5" t="s">
        <v>1356</v>
      </c>
      <c r="L79" s="5" t="s">
        <v>332</v>
      </c>
      <c r="M79" s="5" t="s">
        <v>333</v>
      </c>
      <c r="N79" s="5" t="s">
        <v>1357</v>
      </c>
      <c r="O79" s="5" t="s">
        <v>1358</v>
      </c>
      <c r="P79" s="5" t="s">
        <v>1359</v>
      </c>
      <c r="Q79" s="5" t="s">
        <v>1360</v>
      </c>
      <c r="R79" s="5" t="s">
        <v>338</v>
      </c>
      <c r="S79" s="5" t="s">
        <v>339</v>
      </c>
      <c r="T79" s="5" t="s">
        <v>1318</v>
      </c>
    </row>
    <row r="80" spans="1:20" ht="41.4">
      <c r="A80" s="5" t="s">
        <v>1361</v>
      </c>
      <c r="B80" s="5" t="s">
        <v>1362</v>
      </c>
      <c r="C80" s="5" t="s">
        <v>32</v>
      </c>
      <c r="D80" s="5" t="s">
        <v>1363</v>
      </c>
      <c r="E80" s="5" t="s">
        <v>1364</v>
      </c>
      <c r="F80" s="5" t="s">
        <v>1365</v>
      </c>
      <c r="G80" s="5" t="s">
        <v>1366</v>
      </c>
      <c r="H80" s="5" t="s">
        <v>1367</v>
      </c>
      <c r="I80" s="5" t="s">
        <v>1368</v>
      </c>
      <c r="J80" s="5" t="s">
        <v>1369</v>
      </c>
      <c r="K80" s="5" t="s">
        <v>1370</v>
      </c>
      <c r="L80" s="5" t="s">
        <v>332</v>
      </c>
      <c r="M80" s="5" t="s">
        <v>333</v>
      </c>
      <c r="N80" s="5" t="s">
        <v>1371</v>
      </c>
      <c r="O80" s="5" t="s">
        <v>1372</v>
      </c>
      <c r="P80" s="5" t="s">
        <v>1373</v>
      </c>
      <c r="Q80" s="5" t="s">
        <v>1374</v>
      </c>
      <c r="R80" s="5" t="s">
        <v>338</v>
      </c>
      <c r="S80" s="5" t="s">
        <v>339</v>
      </c>
      <c r="T80" s="5" t="s">
        <v>1318</v>
      </c>
    </row>
    <row r="81" spans="1:20" ht="41.4">
      <c r="A81" s="5" t="s">
        <v>1375</v>
      </c>
      <c r="B81" s="5" t="s">
        <v>1376</v>
      </c>
      <c r="C81" s="5" t="s">
        <v>16</v>
      </c>
      <c r="D81" s="5" t="s">
        <v>1377</v>
      </c>
      <c r="E81" s="5" t="s">
        <v>1378</v>
      </c>
      <c r="F81" s="5" t="s">
        <v>1379</v>
      </c>
      <c r="G81" s="5" t="s">
        <v>1380</v>
      </c>
      <c r="H81" s="5" t="s">
        <v>1381</v>
      </c>
      <c r="I81" s="5" t="s">
        <v>1382</v>
      </c>
      <c r="J81" s="5" t="s">
        <v>1383</v>
      </c>
      <c r="K81" s="5" t="s">
        <v>1384</v>
      </c>
      <c r="L81" s="5" t="s">
        <v>332</v>
      </c>
      <c r="M81" s="5" t="s">
        <v>333</v>
      </c>
      <c r="N81" s="5" t="s">
        <v>1385</v>
      </c>
      <c r="O81" s="5" t="s">
        <v>1386</v>
      </c>
      <c r="P81" s="5" t="s">
        <v>1387</v>
      </c>
      <c r="Q81" s="5" t="s">
        <v>1388</v>
      </c>
      <c r="R81" s="5" t="s">
        <v>338</v>
      </c>
      <c r="S81" s="5" t="s">
        <v>339</v>
      </c>
      <c r="T81" s="5" t="s">
        <v>1389</v>
      </c>
    </row>
    <row r="82" spans="1:20" ht="41.4">
      <c r="A82" s="5" t="s">
        <v>1390</v>
      </c>
      <c r="B82" s="5" t="s">
        <v>1391</v>
      </c>
      <c r="C82" s="5" t="s">
        <v>16</v>
      </c>
      <c r="D82" s="5" t="s">
        <v>1392</v>
      </c>
      <c r="E82" s="5" t="s">
        <v>1393</v>
      </c>
      <c r="F82" s="5" t="s">
        <v>1394</v>
      </c>
      <c r="G82" s="5" t="s">
        <v>1395</v>
      </c>
      <c r="H82" s="5" t="s">
        <v>1396</v>
      </c>
      <c r="I82" s="5" t="s">
        <v>1397</v>
      </c>
      <c r="J82" s="5" t="s">
        <v>1398</v>
      </c>
      <c r="K82" s="5" t="s">
        <v>1399</v>
      </c>
      <c r="L82" s="5" t="s">
        <v>332</v>
      </c>
      <c r="M82" s="5" t="s">
        <v>333</v>
      </c>
      <c r="N82" s="5" t="s">
        <v>1400</v>
      </c>
      <c r="O82" s="5" t="s">
        <v>1401</v>
      </c>
      <c r="P82" s="5" t="s">
        <v>1402</v>
      </c>
      <c r="Q82" s="5" t="s">
        <v>1403</v>
      </c>
      <c r="R82" s="5" t="s">
        <v>338</v>
      </c>
      <c r="S82" s="5" t="s">
        <v>339</v>
      </c>
      <c r="T82" s="5" t="s">
        <v>1389</v>
      </c>
    </row>
    <row r="83" spans="1:20" ht="41.4">
      <c r="A83" s="5" t="s">
        <v>1404</v>
      </c>
      <c r="B83" s="5" t="s">
        <v>1405</v>
      </c>
      <c r="C83" s="5" t="s">
        <v>16</v>
      </c>
      <c r="D83" s="5" t="s">
        <v>1406</v>
      </c>
      <c r="E83" s="5" t="s">
        <v>1407</v>
      </c>
      <c r="F83" s="5" t="s">
        <v>1408</v>
      </c>
      <c r="G83" s="5" t="s">
        <v>1409</v>
      </c>
      <c r="H83" s="5" t="s">
        <v>1410</v>
      </c>
      <c r="I83" s="5" t="s">
        <v>1411</v>
      </c>
      <c r="J83" s="5" t="s">
        <v>1412</v>
      </c>
      <c r="K83" s="5" t="s">
        <v>1413</v>
      </c>
      <c r="L83" s="5" t="s">
        <v>332</v>
      </c>
      <c r="M83" s="5" t="s">
        <v>333</v>
      </c>
      <c r="N83" s="5" t="s">
        <v>1414</v>
      </c>
      <c r="O83" s="5" t="s">
        <v>1415</v>
      </c>
      <c r="P83" s="5" t="s">
        <v>1416</v>
      </c>
      <c r="Q83" s="5" t="s">
        <v>1417</v>
      </c>
      <c r="R83" s="5" t="s">
        <v>338</v>
      </c>
      <c r="S83" s="5" t="s">
        <v>339</v>
      </c>
      <c r="T83" s="5" t="s">
        <v>1389</v>
      </c>
    </row>
    <row r="84" spans="1:20" ht="41.4">
      <c r="A84" s="5" t="s">
        <v>1418</v>
      </c>
      <c r="B84" s="5" t="s">
        <v>1419</v>
      </c>
      <c r="C84" s="5" t="s">
        <v>16</v>
      </c>
      <c r="D84" s="5" t="s">
        <v>1420</v>
      </c>
      <c r="E84" s="5" t="s">
        <v>1421</v>
      </c>
      <c r="F84" s="5" t="s">
        <v>1422</v>
      </c>
      <c r="G84" s="5" t="s">
        <v>1423</v>
      </c>
      <c r="H84" s="5" t="s">
        <v>1424</v>
      </c>
      <c r="I84" s="5" t="s">
        <v>1425</v>
      </c>
      <c r="J84" s="5" t="s">
        <v>1426</v>
      </c>
      <c r="K84" s="5" t="s">
        <v>738</v>
      </c>
      <c r="L84" s="5" t="s">
        <v>332</v>
      </c>
      <c r="M84" s="5" t="s">
        <v>333</v>
      </c>
      <c r="N84" s="5" t="s">
        <v>1427</v>
      </c>
      <c r="O84" s="5" t="s">
        <v>1428</v>
      </c>
      <c r="P84" s="5" t="s">
        <v>1429</v>
      </c>
      <c r="Q84" s="5" t="s">
        <v>1430</v>
      </c>
      <c r="R84" s="5" t="s">
        <v>338</v>
      </c>
      <c r="S84" s="5" t="s">
        <v>1431</v>
      </c>
      <c r="T84" s="5" t="s">
        <v>1389</v>
      </c>
    </row>
    <row r="85" spans="1:20" ht="41.4">
      <c r="A85" s="5" t="s">
        <v>1432</v>
      </c>
      <c r="B85" s="5" t="s">
        <v>1183</v>
      </c>
      <c r="C85" s="5" t="s">
        <v>16</v>
      </c>
      <c r="D85" s="5" t="s">
        <v>1433</v>
      </c>
      <c r="E85" s="5" t="s">
        <v>1421</v>
      </c>
      <c r="F85" s="5" t="s">
        <v>1434</v>
      </c>
      <c r="G85" s="5" t="s">
        <v>1435</v>
      </c>
      <c r="H85" s="5" t="s">
        <v>1436</v>
      </c>
      <c r="I85" s="5" t="s">
        <v>1437</v>
      </c>
      <c r="J85" s="5" t="s">
        <v>1438</v>
      </c>
      <c r="K85" s="5" t="s">
        <v>738</v>
      </c>
      <c r="L85" s="5" t="s">
        <v>332</v>
      </c>
      <c r="M85" s="5" t="s">
        <v>333</v>
      </c>
      <c r="N85" s="5" t="s">
        <v>1439</v>
      </c>
      <c r="O85" s="5" t="s">
        <v>1440</v>
      </c>
      <c r="P85" s="5" t="s">
        <v>1192</v>
      </c>
      <c r="Q85" s="5" t="s">
        <v>1441</v>
      </c>
      <c r="R85" s="5" t="s">
        <v>338</v>
      </c>
      <c r="S85" s="5" t="s">
        <v>1442</v>
      </c>
      <c r="T85" s="5" t="s">
        <v>1389</v>
      </c>
    </row>
  </sheetData>
  <mergeCells count="2">
    <mergeCell ref="A1:T1"/>
    <mergeCell ref="A2:T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Views>
    <sheetView topLeftCell="A3" workbookViewId="0">
      <selection activeCell="C3" sqref="C3"/>
    </sheetView>
  </sheetViews>
  <sheetFormatPr baseColWidth="10" defaultColWidth="8.796875" defaultRowHeight="13.8"/>
  <cols>
    <col min="1" max="1" width="12" customWidth="1"/>
    <col min="2" max="2" width="38" customWidth="1"/>
    <col min="3" max="3" width="24" customWidth="1"/>
    <col min="4" max="4" width="8" customWidth="1"/>
    <col min="5" max="5" width="48" customWidth="1"/>
    <col min="6" max="6" width="55" customWidth="1"/>
  </cols>
  <sheetData>
    <row r="1" spans="1:6" ht="22.35" customHeight="1">
      <c r="A1" s="8" t="s">
        <v>1443</v>
      </c>
      <c r="B1" s="8"/>
      <c r="C1" s="8"/>
      <c r="D1" s="8"/>
      <c r="E1" s="8"/>
      <c r="F1" s="8"/>
    </row>
    <row r="2" spans="1:6" ht="27.15" customHeight="1">
      <c r="A2" s="9" t="s">
        <v>1444</v>
      </c>
      <c r="B2" s="9"/>
      <c r="C2" s="9"/>
      <c r="D2" s="9"/>
      <c r="E2" s="9"/>
      <c r="F2" s="9"/>
    </row>
    <row r="4" spans="1:6" ht="22.35" customHeight="1">
      <c r="A4" s="4" t="s">
        <v>1445</v>
      </c>
      <c r="B4" s="4" t="s">
        <v>306</v>
      </c>
      <c r="C4" s="4" t="s">
        <v>8</v>
      </c>
      <c r="D4" s="4" t="s">
        <v>1446</v>
      </c>
      <c r="E4" s="4" t="s">
        <v>1447</v>
      </c>
      <c r="F4" s="4" t="s">
        <v>1448</v>
      </c>
    </row>
    <row r="5" spans="1:6" ht="27.6">
      <c r="A5" s="5" t="s">
        <v>322</v>
      </c>
      <c r="B5" s="5" t="s">
        <v>323</v>
      </c>
      <c r="C5" s="5" t="s">
        <v>29</v>
      </c>
      <c r="D5" s="5">
        <v>1</v>
      </c>
      <c r="E5" s="5" t="s">
        <v>1449</v>
      </c>
      <c r="F5" s="5" t="s">
        <v>325</v>
      </c>
    </row>
    <row r="6" spans="1:6" ht="27.6">
      <c r="A6" s="5" t="s">
        <v>322</v>
      </c>
      <c r="B6" s="5" t="s">
        <v>323</v>
      </c>
      <c r="C6" s="5" t="s">
        <v>29</v>
      </c>
      <c r="D6" s="5">
        <v>2</v>
      </c>
      <c r="E6" s="5" t="s">
        <v>1450</v>
      </c>
      <c r="F6" s="5" t="s">
        <v>325</v>
      </c>
    </row>
    <row r="7" spans="1:6" ht="27.6">
      <c r="A7" s="5" t="s">
        <v>322</v>
      </c>
      <c r="B7" s="5" t="s">
        <v>323</v>
      </c>
      <c r="C7" s="5" t="s">
        <v>29</v>
      </c>
      <c r="D7" s="5">
        <v>3</v>
      </c>
      <c r="E7" s="5" t="s">
        <v>1451</v>
      </c>
      <c r="F7" s="5" t="s">
        <v>325</v>
      </c>
    </row>
    <row r="8" spans="1:6" ht="27.6">
      <c r="A8" s="5" t="s">
        <v>322</v>
      </c>
      <c r="B8" s="5" t="s">
        <v>323</v>
      </c>
      <c r="C8" s="5" t="s">
        <v>29</v>
      </c>
      <c r="D8" s="5">
        <v>4</v>
      </c>
      <c r="E8" s="5" t="s">
        <v>1452</v>
      </c>
      <c r="F8" s="5" t="s">
        <v>325</v>
      </c>
    </row>
    <row r="9" spans="1:6" ht="27.6">
      <c r="A9" s="5" t="s">
        <v>341</v>
      </c>
      <c r="B9" s="5" t="s">
        <v>342</v>
      </c>
      <c r="C9" s="5" t="s">
        <v>29</v>
      </c>
      <c r="D9" s="5">
        <v>1</v>
      </c>
      <c r="E9" s="5" t="s">
        <v>1453</v>
      </c>
      <c r="F9" s="5" t="s">
        <v>344</v>
      </c>
    </row>
    <row r="10" spans="1:6" ht="27.6">
      <c r="A10" s="5" t="s">
        <v>341</v>
      </c>
      <c r="B10" s="5" t="s">
        <v>342</v>
      </c>
      <c r="C10" s="5" t="s">
        <v>29</v>
      </c>
      <c r="D10" s="5">
        <v>2</v>
      </c>
      <c r="E10" s="5" t="s">
        <v>1454</v>
      </c>
      <c r="F10" s="5" t="s">
        <v>344</v>
      </c>
    </row>
    <row r="11" spans="1:6" ht="27.6">
      <c r="A11" s="5" t="s">
        <v>341</v>
      </c>
      <c r="B11" s="5" t="s">
        <v>342</v>
      </c>
      <c r="C11" s="5" t="s">
        <v>29</v>
      </c>
      <c r="D11" s="5">
        <v>3</v>
      </c>
      <c r="E11" s="5" t="s">
        <v>1455</v>
      </c>
      <c r="F11" s="5" t="s">
        <v>344</v>
      </c>
    </row>
    <row r="12" spans="1:6" ht="27.6">
      <c r="A12" s="5" t="s">
        <v>341</v>
      </c>
      <c r="B12" s="5" t="s">
        <v>342</v>
      </c>
      <c r="C12" s="5" t="s">
        <v>29</v>
      </c>
      <c r="D12" s="5">
        <v>4</v>
      </c>
      <c r="E12" s="5" t="s">
        <v>1456</v>
      </c>
      <c r="F12" s="5" t="s">
        <v>344</v>
      </c>
    </row>
    <row r="13" spans="1:6" ht="27.6">
      <c r="A13" s="5" t="s">
        <v>341</v>
      </c>
      <c r="B13" s="5" t="s">
        <v>342</v>
      </c>
      <c r="C13" s="5" t="s">
        <v>29</v>
      </c>
      <c r="D13" s="5">
        <v>5</v>
      </c>
      <c r="E13" s="5" t="s">
        <v>1457</v>
      </c>
      <c r="F13" s="5" t="s">
        <v>344</v>
      </c>
    </row>
    <row r="14" spans="1:6" ht="27.6">
      <c r="A14" s="5" t="s">
        <v>355</v>
      </c>
      <c r="B14" s="5" t="s">
        <v>356</v>
      </c>
      <c r="C14" s="5" t="s">
        <v>29</v>
      </c>
      <c r="D14" s="5">
        <v>1</v>
      </c>
      <c r="E14" s="5" t="s">
        <v>1458</v>
      </c>
      <c r="F14" s="5" t="s">
        <v>358</v>
      </c>
    </row>
    <row r="15" spans="1:6" ht="27.6">
      <c r="A15" s="5" t="s">
        <v>355</v>
      </c>
      <c r="B15" s="5" t="s">
        <v>356</v>
      </c>
      <c r="C15" s="5" t="s">
        <v>29</v>
      </c>
      <c r="D15" s="5">
        <v>2</v>
      </c>
      <c r="E15" s="5" t="s">
        <v>1459</v>
      </c>
      <c r="F15" s="5" t="s">
        <v>358</v>
      </c>
    </row>
    <row r="16" spans="1:6" ht="27.6">
      <c r="A16" s="5" t="s">
        <v>355</v>
      </c>
      <c r="B16" s="5" t="s">
        <v>356</v>
      </c>
      <c r="C16" s="5" t="s">
        <v>29</v>
      </c>
      <c r="D16" s="5">
        <v>3</v>
      </c>
      <c r="E16" s="5" t="s">
        <v>1460</v>
      </c>
      <c r="F16" s="5" t="s">
        <v>358</v>
      </c>
    </row>
    <row r="17" spans="1:6" ht="27.6">
      <c r="A17" s="5" t="s">
        <v>355</v>
      </c>
      <c r="B17" s="5" t="s">
        <v>356</v>
      </c>
      <c r="C17" s="5" t="s">
        <v>29</v>
      </c>
      <c r="D17" s="5">
        <v>4</v>
      </c>
      <c r="E17" s="5" t="s">
        <v>1461</v>
      </c>
      <c r="F17" s="5" t="s">
        <v>358</v>
      </c>
    </row>
    <row r="18" spans="1:6" ht="27.6">
      <c r="A18" s="5" t="s">
        <v>355</v>
      </c>
      <c r="B18" s="5" t="s">
        <v>356</v>
      </c>
      <c r="C18" s="5" t="s">
        <v>29</v>
      </c>
      <c r="D18" s="5">
        <v>5</v>
      </c>
      <c r="E18" s="5" t="s">
        <v>1462</v>
      </c>
      <c r="F18" s="5" t="s">
        <v>358</v>
      </c>
    </row>
    <row r="19" spans="1:6" ht="27.6">
      <c r="A19" s="5" t="s">
        <v>369</v>
      </c>
      <c r="B19" s="5" t="s">
        <v>370</v>
      </c>
      <c r="C19" s="5" t="s">
        <v>29</v>
      </c>
      <c r="D19" s="5">
        <v>1</v>
      </c>
      <c r="E19" s="5" t="s">
        <v>1463</v>
      </c>
      <c r="F19" s="5" t="s">
        <v>372</v>
      </c>
    </row>
    <row r="20" spans="1:6" ht="27.6">
      <c r="A20" s="5" t="s">
        <v>369</v>
      </c>
      <c r="B20" s="5" t="s">
        <v>370</v>
      </c>
      <c r="C20" s="5" t="s">
        <v>29</v>
      </c>
      <c r="D20" s="5">
        <v>2</v>
      </c>
      <c r="E20" s="5" t="s">
        <v>1464</v>
      </c>
      <c r="F20" s="5" t="s">
        <v>372</v>
      </c>
    </row>
    <row r="21" spans="1:6" ht="27.6">
      <c r="A21" s="5" t="s">
        <v>383</v>
      </c>
      <c r="B21" s="5" t="s">
        <v>384</v>
      </c>
      <c r="C21" s="5" t="s">
        <v>29</v>
      </c>
      <c r="D21" s="5">
        <v>1</v>
      </c>
      <c r="E21" s="5" t="s">
        <v>1465</v>
      </c>
      <c r="F21" s="5" t="s">
        <v>386</v>
      </c>
    </row>
    <row r="22" spans="1:6" ht="27.6">
      <c r="A22" s="5" t="s">
        <v>383</v>
      </c>
      <c r="B22" s="5" t="s">
        <v>384</v>
      </c>
      <c r="C22" s="5" t="s">
        <v>29</v>
      </c>
      <c r="D22" s="5">
        <v>2</v>
      </c>
      <c r="E22" s="5" t="s">
        <v>1466</v>
      </c>
      <c r="F22" s="5" t="s">
        <v>386</v>
      </c>
    </row>
    <row r="23" spans="1:6" ht="27.6">
      <c r="A23" s="5" t="s">
        <v>383</v>
      </c>
      <c r="B23" s="5" t="s">
        <v>384</v>
      </c>
      <c r="C23" s="5" t="s">
        <v>29</v>
      </c>
      <c r="D23" s="5">
        <v>3</v>
      </c>
      <c r="E23" s="5" t="s">
        <v>1467</v>
      </c>
      <c r="F23" s="5" t="s">
        <v>386</v>
      </c>
    </row>
    <row r="24" spans="1:6" ht="27.6">
      <c r="A24" s="5" t="s">
        <v>397</v>
      </c>
      <c r="B24" s="5" t="s">
        <v>398</v>
      </c>
      <c r="C24" s="5" t="s">
        <v>29</v>
      </c>
      <c r="D24" s="5">
        <v>1</v>
      </c>
      <c r="E24" s="5" t="s">
        <v>1465</v>
      </c>
      <c r="F24" s="5" t="s">
        <v>400</v>
      </c>
    </row>
    <row r="25" spans="1:6" ht="27.6">
      <c r="A25" s="5" t="s">
        <v>397</v>
      </c>
      <c r="B25" s="5" t="s">
        <v>398</v>
      </c>
      <c r="C25" s="5" t="s">
        <v>29</v>
      </c>
      <c r="D25" s="5">
        <v>2</v>
      </c>
      <c r="E25" s="5" t="s">
        <v>1468</v>
      </c>
      <c r="F25" s="5" t="s">
        <v>400</v>
      </c>
    </row>
    <row r="26" spans="1:6" ht="27.6">
      <c r="A26" s="5" t="s">
        <v>397</v>
      </c>
      <c r="B26" s="5" t="s">
        <v>398</v>
      </c>
      <c r="C26" s="5" t="s">
        <v>29</v>
      </c>
      <c r="D26" s="5">
        <v>3</v>
      </c>
      <c r="E26" s="5" t="s">
        <v>1466</v>
      </c>
      <c r="F26" s="5" t="s">
        <v>400</v>
      </c>
    </row>
    <row r="27" spans="1:6" ht="27.6">
      <c r="A27" s="5" t="s">
        <v>397</v>
      </c>
      <c r="B27" s="5" t="s">
        <v>398</v>
      </c>
      <c r="C27" s="5" t="s">
        <v>29</v>
      </c>
      <c r="D27" s="5">
        <v>4</v>
      </c>
      <c r="E27" s="5" t="s">
        <v>1469</v>
      </c>
      <c r="F27" s="5" t="s">
        <v>400</v>
      </c>
    </row>
    <row r="28" spans="1:6" ht="27.6">
      <c r="A28" s="5" t="s">
        <v>397</v>
      </c>
      <c r="B28" s="5" t="s">
        <v>398</v>
      </c>
      <c r="C28" s="5" t="s">
        <v>29</v>
      </c>
      <c r="D28" s="5">
        <v>5</v>
      </c>
      <c r="E28" s="5" t="s">
        <v>1470</v>
      </c>
      <c r="F28" s="5" t="s">
        <v>400</v>
      </c>
    </row>
    <row r="29" spans="1:6" ht="27.6">
      <c r="A29" s="5" t="s">
        <v>397</v>
      </c>
      <c r="B29" s="5" t="s">
        <v>398</v>
      </c>
      <c r="C29" s="5" t="s">
        <v>29</v>
      </c>
      <c r="D29" s="5">
        <v>6</v>
      </c>
      <c r="E29" s="5" t="s">
        <v>1471</v>
      </c>
      <c r="F29" s="5" t="s">
        <v>400</v>
      </c>
    </row>
    <row r="30" spans="1:6" ht="27.6">
      <c r="A30" s="5" t="s">
        <v>397</v>
      </c>
      <c r="B30" s="5" t="s">
        <v>398</v>
      </c>
      <c r="C30" s="5" t="s">
        <v>29</v>
      </c>
      <c r="D30" s="5">
        <v>7</v>
      </c>
      <c r="E30" s="5" t="s">
        <v>1472</v>
      </c>
      <c r="F30" s="5" t="s">
        <v>400</v>
      </c>
    </row>
    <row r="31" spans="1:6" ht="27.6">
      <c r="A31" s="5" t="s">
        <v>411</v>
      </c>
      <c r="B31" s="5" t="s">
        <v>412</v>
      </c>
      <c r="C31" s="5" t="s">
        <v>29</v>
      </c>
      <c r="D31" s="5">
        <v>1</v>
      </c>
      <c r="E31" s="5" t="s">
        <v>1473</v>
      </c>
      <c r="F31" s="5" t="s">
        <v>414</v>
      </c>
    </row>
    <row r="32" spans="1:6" ht="27.6">
      <c r="A32" s="5" t="s">
        <v>411</v>
      </c>
      <c r="B32" s="5" t="s">
        <v>412</v>
      </c>
      <c r="C32" s="5" t="s">
        <v>29</v>
      </c>
      <c r="D32" s="5">
        <v>2</v>
      </c>
      <c r="E32" s="5" t="s">
        <v>1474</v>
      </c>
      <c r="F32" s="5" t="s">
        <v>414</v>
      </c>
    </row>
    <row r="33" spans="1:6" ht="27.6">
      <c r="A33" s="5" t="s">
        <v>411</v>
      </c>
      <c r="B33" s="5" t="s">
        <v>412</v>
      </c>
      <c r="C33" s="5" t="s">
        <v>29</v>
      </c>
      <c r="D33" s="5">
        <v>3</v>
      </c>
      <c r="E33" s="5" t="s">
        <v>232</v>
      </c>
      <c r="F33" s="5" t="s">
        <v>414</v>
      </c>
    </row>
    <row r="34" spans="1:6" ht="27.6">
      <c r="A34" s="5" t="s">
        <v>411</v>
      </c>
      <c r="B34" s="5" t="s">
        <v>412</v>
      </c>
      <c r="C34" s="5" t="s">
        <v>29</v>
      </c>
      <c r="D34" s="5">
        <v>4</v>
      </c>
      <c r="E34" s="5" t="s">
        <v>1475</v>
      </c>
      <c r="F34" s="5" t="s">
        <v>414</v>
      </c>
    </row>
    <row r="35" spans="1:6" ht="27.6">
      <c r="A35" s="5" t="s">
        <v>411</v>
      </c>
      <c r="B35" s="5" t="s">
        <v>412</v>
      </c>
      <c r="C35" s="5" t="s">
        <v>29</v>
      </c>
      <c r="D35" s="5">
        <v>5</v>
      </c>
      <c r="E35" s="5" t="s">
        <v>1476</v>
      </c>
      <c r="F35" s="5" t="s">
        <v>414</v>
      </c>
    </row>
    <row r="36" spans="1:6" ht="27.6">
      <c r="A36" s="5" t="s">
        <v>411</v>
      </c>
      <c r="B36" s="5" t="s">
        <v>412</v>
      </c>
      <c r="C36" s="5" t="s">
        <v>29</v>
      </c>
      <c r="D36" s="5">
        <v>6</v>
      </c>
      <c r="E36" s="5" t="s">
        <v>1477</v>
      </c>
      <c r="F36" s="5" t="s">
        <v>414</v>
      </c>
    </row>
    <row r="37" spans="1:6" ht="27.6">
      <c r="A37" s="5" t="s">
        <v>411</v>
      </c>
      <c r="B37" s="5" t="s">
        <v>412</v>
      </c>
      <c r="C37" s="5" t="s">
        <v>29</v>
      </c>
      <c r="D37" s="5">
        <v>7</v>
      </c>
      <c r="E37" s="5" t="s">
        <v>1478</v>
      </c>
      <c r="F37" s="5" t="s">
        <v>414</v>
      </c>
    </row>
    <row r="38" spans="1:6" ht="27.6">
      <c r="A38" s="5" t="s">
        <v>411</v>
      </c>
      <c r="B38" s="5" t="s">
        <v>412</v>
      </c>
      <c r="C38" s="5" t="s">
        <v>29</v>
      </c>
      <c r="D38" s="5">
        <v>8</v>
      </c>
      <c r="E38" s="5" t="s">
        <v>1479</v>
      </c>
      <c r="F38" s="5" t="s">
        <v>414</v>
      </c>
    </row>
    <row r="39" spans="1:6" ht="27.6">
      <c r="A39" s="5" t="s">
        <v>411</v>
      </c>
      <c r="B39" s="5" t="s">
        <v>412</v>
      </c>
      <c r="C39" s="5" t="s">
        <v>29</v>
      </c>
      <c r="D39" s="5">
        <v>9</v>
      </c>
      <c r="E39" s="5" t="s">
        <v>1480</v>
      </c>
      <c r="F39" s="5" t="s">
        <v>414</v>
      </c>
    </row>
    <row r="40" spans="1:6" ht="27.6">
      <c r="A40" s="5" t="s">
        <v>411</v>
      </c>
      <c r="B40" s="5" t="s">
        <v>412</v>
      </c>
      <c r="C40" s="5" t="s">
        <v>29</v>
      </c>
      <c r="D40" s="5">
        <v>10</v>
      </c>
      <c r="E40" s="5" t="s">
        <v>1481</v>
      </c>
      <c r="F40" s="5" t="s">
        <v>414</v>
      </c>
    </row>
    <row r="41" spans="1:6" ht="27.6">
      <c r="A41" s="5" t="s">
        <v>425</v>
      </c>
      <c r="B41" s="5" t="s">
        <v>426</v>
      </c>
      <c r="C41" s="5" t="s">
        <v>29</v>
      </c>
      <c r="D41" s="5">
        <v>1</v>
      </c>
      <c r="E41" s="5" t="s">
        <v>1482</v>
      </c>
      <c r="F41" s="5" t="s">
        <v>428</v>
      </c>
    </row>
    <row r="42" spans="1:6" ht="27.6">
      <c r="A42" s="5" t="s">
        <v>425</v>
      </c>
      <c r="B42" s="5" t="s">
        <v>426</v>
      </c>
      <c r="C42" s="5" t="s">
        <v>29</v>
      </c>
      <c r="D42" s="5">
        <v>2</v>
      </c>
      <c r="E42" s="5" t="s">
        <v>1475</v>
      </c>
      <c r="F42" s="5" t="s">
        <v>428</v>
      </c>
    </row>
    <row r="43" spans="1:6" ht="27.6">
      <c r="A43" s="5" t="s">
        <v>425</v>
      </c>
      <c r="B43" s="5" t="s">
        <v>426</v>
      </c>
      <c r="C43" s="5" t="s">
        <v>29</v>
      </c>
      <c r="D43" s="5">
        <v>3</v>
      </c>
      <c r="E43" s="5" t="s">
        <v>1483</v>
      </c>
      <c r="F43" s="5" t="s">
        <v>428</v>
      </c>
    </row>
    <row r="44" spans="1:6" ht="27.6">
      <c r="A44" s="5" t="s">
        <v>425</v>
      </c>
      <c r="B44" s="5" t="s">
        <v>426</v>
      </c>
      <c r="C44" s="5" t="s">
        <v>29</v>
      </c>
      <c r="D44" s="5">
        <v>4</v>
      </c>
      <c r="E44" s="5" t="s">
        <v>1476</v>
      </c>
      <c r="F44" s="5" t="s">
        <v>428</v>
      </c>
    </row>
    <row r="45" spans="1:6" ht="27.6">
      <c r="A45" s="5" t="s">
        <v>425</v>
      </c>
      <c r="B45" s="5" t="s">
        <v>426</v>
      </c>
      <c r="C45" s="5" t="s">
        <v>29</v>
      </c>
      <c r="D45" s="5">
        <v>5</v>
      </c>
      <c r="E45" s="5" t="s">
        <v>1484</v>
      </c>
      <c r="F45" s="5" t="s">
        <v>428</v>
      </c>
    </row>
    <row r="46" spans="1:6" ht="27.6">
      <c r="A46" s="5" t="s">
        <v>425</v>
      </c>
      <c r="B46" s="5" t="s">
        <v>426</v>
      </c>
      <c r="C46" s="5" t="s">
        <v>29</v>
      </c>
      <c r="D46" s="5">
        <v>6</v>
      </c>
      <c r="E46" s="5" t="s">
        <v>1485</v>
      </c>
      <c r="F46" s="5" t="s">
        <v>428</v>
      </c>
    </row>
    <row r="47" spans="1:6" ht="27.6">
      <c r="A47" s="5" t="s">
        <v>425</v>
      </c>
      <c r="B47" s="5" t="s">
        <v>426</v>
      </c>
      <c r="C47" s="5" t="s">
        <v>29</v>
      </c>
      <c r="D47" s="5">
        <v>7</v>
      </c>
      <c r="E47" s="5" t="s">
        <v>236</v>
      </c>
      <c r="F47" s="5" t="s">
        <v>428</v>
      </c>
    </row>
    <row r="48" spans="1:6" ht="27.6">
      <c r="A48" s="5" t="s">
        <v>425</v>
      </c>
      <c r="B48" s="5" t="s">
        <v>426</v>
      </c>
      <c r="C48" s="5" t="s">
        <v>29</v>
      </c>
      <c r="D48" s="5">
        <v>8</v>
      </c>
      <c r="E48" s="5" t="s">
        <v>244</v>
      </c>
      <c r="F48" s="5" t="s">
        <v>428</v>
      </c>
    </row>
    <row r="49" spans="1:6" ht="27.6">
      <c r="A49" s="5" t="s">
        <v>439</v>
      </c>
      <c r="B49" s="5" t="s">
        <v>440</v>
      </c>
      <c r="C49" s="5" t="s">
        <v>29</v>
      </c>
      <c r="D49" s="5">
        <v>1</v>
      </c>
      <c r="E49" s="5" t="s">
        <v>1486</v>
      </c>
      <c r="F49" s="5" t="s">
        <v>442</v>
      </c>
    </row>
    <row r="50" spans="1:6" ht="27.6">
      <c r="A50" s="5" t="s">
        <v>439</v>
      </c>
      <c r="B50" s="5" t="s">
        <v>440</v>
      </c>
      <c r="C50" s="5" t="s">
        <v>29</v>
      </c>
      <c r="D50" s="5">
        <v>2</v>
      </c>
      <c r="E50" s="5" t="s">
        <v>1476</v>
      </c>
      <c r="F50" s="5" t="s">
        <v>442</v>
      </c>
    </row>
    <row r="51" spans="1:6" ht="27.6">
      <c r="A51" s="5" t="s">
        <v>439</v>
      </c>
      <c r="B51" s="5" t="s">
        <v>440</v>
      </c>
      <c r="C51" s="5" t="s">
        <v>29</v>
      </c>
      <c r="D51" s="5">
        <v>3</v>
      </c>
      <c r="E51" s="5" t="s">
        <v>1457</v>
      </c>
      <c r="F51" s="5" t="s">
        <v>442</v>
      </c>
    </row>
    <row r="52" spans="1:6" ht="27.6">
      <c r="A52" s="5" t="s">
        <v>439</v>
      </c>
      <c r="B52" s="5" t="s">
        <v>440</v>
      </c>
      <c r="C52" s="5" t="s">
        <v>29</v>
      </c>
      <c r="D52" s="5">
        <v>4</v>
      </c>
      <c r="E52" s="5" t="s">
        <v>1487</v>
      </c>
      <c r="F52" s="5" t="s">
        <v>442</v>
      </c>
    </row>
    <row r="53" spans="1:6" ht="27.6">
      <c r="A53" s="5" t="s">
        <v>453</v>
      </c>
      <c r="B53" s="5" t="s">
        <v>104</v>
      </c>
      <c r="C53" s="5" t="s">
        <v>29</v>
      </c>
      <c r="D53" s="5">
        <v>1</v>
      </c>
      <c r="E53" s="5" t="s">
        <v>1488</v>
      </c>
      <c r="F53" s="5" t="s">
        <v>455</v>
      </c>
    </row>
    <row r="54" spans="1:6" ht="27.6">
      <c r="A54" s="5" t="s">
        <v>453</v>
      </c>
      <c r="B54" s="5" t="s">
        <v>104</v>
      </c>
      <c r="C54" s="5" t="s">
        <v>29</v>
      </c>
      <c r="D54" s="5">
        <v>2</v>
      </c>
      <c r="E54" s="5" t="s">
        <v>1489</v>
      </c>
      <c r="F54" s="5" t="s">
        <v>455</v>
      </c>
    </row>
    <row r="55" spans="1:6" ht="27.6">
      <c r="A55" s="5" t="s">
        <v>453</v>
      </c>
      <c r="B55" s="5" t="s">
        <v>104</v>
      </c>
      <c r="C55" s="5" t="s">
        <v>29</v>
      </c>
      <c r="D55" s="5">
        <v>3</v>
      </c>
      <c r="E55" s="5" t="s">
        <v>232</v>
      </c>
      <c r="F55" s="5" t="s">
        <v>455</v>
      </c>
    </row>
    <row r="56" spans="1:6" ht="27.6">
      <c r="A56" s="5" t="s">
        <v>453</v>
      </c>
      <c r="B56" s="5" t="s">
        <v>104</v>
      </c>
      <c r="C56" s="5" t="s">
        <v>29</v>
      </c>
      <c r="D56" s="5">
        <v>4</v>
      </c>
      <c r="E56" s="5" t="s">
        <v>1490</v>
      </c>
      <c r="F56" s="5" t="s">
        <v>455</v>
      </c>
    </row>
    <row r="57" spans="1:6" ht="27.6">
      <c r="A57" s="5" t="s">
        <v>453</v>
      </c>
      <c r="B57" s="5" t="s">
        <v>104</v>
      </c>
      <c r="C57" s="5" t="s">
        <v>29</v>
      </c>
      <c r="D57" s="5">
        <v>5</v>
      </c>
      <c r="E57" s="5" t="s">
        <v>1491</v>
      </c>
      <c r="F57" s="5" t="s">
        <v>455</v>
      </c>
    </row>
    <row r="58" spans="1:6" ht="27.6">
      <c r="A58" s="5" t="s">
        <v>453</v>
      </c>
      <c r="B58" s="5" t="s">
        <v>104</v>
      </c>
      <c r="C58" s="5" t="s">
        <v>29</v>
      </c>
      <c r="D58" s="5">
        <v>6</v>
      </c>
      <c r="E58" s="5" t="s">
        <v>1492</v>
      </c>
      <c r="F58" s="5" t="s">
        <v>455</v>
      </c>
    </row>
    <row r="59" spans="1:6" ht="27.6">
      <c r="A59" s="5" t="s">
        <v>453</v>
      </c>
      <c r="B59" s="5" t="s">
        <v>104</v>
      </c>
      <c r="C59" s="5" t="s">
        <v>29</v>
      </c>
      <c r="D59" s="5">
        <v>7</v>
      </c>
      <c r="E59" s="5" t="s">
        <v>1493</v>
      </c>
      <c r="F59" s="5" t="s">
        <v>455</v>
      </c>
    </row>
    <row r="60" spans="1:6" ht="27.6">
      <c r="A60" s="5" t="s">
        <v>466</v>
      </c>
      <c r="B60" s="5" t="s">
        <v>467</v>
      </c>
      <c r="C60" s="5" t="s">
        <v>29</v>
      </c>
      <c r="D60" s="5">
        <v>1</v>
      </c>
      <c r="E60" s="5" t="s">
        <v>1494</v>
      </c>
      <c r="F60" s="5" t="s">
        <v>469</v>
      </c>
    </row>
    <row r="61" spans="1:6" ht="27.6">
      <c r="A61" s="5" t="s">
        <v>466</v>
      </c>
      <c r="B61" s="5" t="s">
        <v>467</v>
      </c>
      <c r="C61" s="5" t="s">
        <v>29</v>
      </c>
      <c r="D61" s="5">
        <v>2</v>
      </c>
      <c r="E61" s="5" t="s">
        <v>1457</v>
      </c>
      <c r="F61" s="5" t="s">
        <v>469</v>
      </c>
    </row>
    <row r="62" spans="1:6" ht="27.6">
      <c r="A62" s="5" t="s">
        <v>466</v>
      </c>
      <c r="B62" s="5" t="s">
        <v>467</v>
      </c>
      <c r="C62" s="5" t="s">
        <v>29</v>
      </c>
      <c r="D62" s="5">
        <v>3</v>
      </c>
      <c r="E62" s="5" t="s">
        <v>1495</v>
      </c>
      <c r="F62" s="5" t="s">
        <v>469</v>
      </c>
    </row>
    <row r="63" spans="1:6" ht="27.6">
      <c r="A63" s="5" t="s">
        <v>466</v>
      </c>
      <c r="B63" s="5" t="s">
        <v>467</v>
      </c>
      <c r="C63" s="5" t="s">
        <v>29</v>
      </c>
      <c r="D63" s="5">
        <v>4</v>
      </c>
      <c r="E63" s="5" t="s">
        <v>1496</v>
      </c>
      <c r="F63" s="5" t="s">
        <v>469</v>
      </c>
    </row>
    <row r="64" spans="1:6" ht="27.6">
      <c r="A64" s="5" t="s">
        <v>466</v>
      </c>
      <c r="B64" s="5" t="s">
        <v>467</v>
      </c>
      <c r="C64" s="5" t="s">
        <v>29</v>
      </c>
      <c r="D64" s="5">
        <v>5</v>
      </c>
      <c r="E64" s="5" t="s">
        <v>1497</v>
      </c>
      <c r="F64" s="5" t="s">
        <v>469</v>
      </c>
    </row>
    <row r="65" spans="1:6" ht="27.6">
      <c r="A65" s="5" t="s">
        <v>466</v>
      </c>
      <c r="B65" s="5" t="s">
        <v>467</v>
      </c>
      <c r="C65" s="5" t="s">
        <v>29</v>
      </c>
      <c r="D65" s="5">
        <v>6</v>
      </c>
      <c r="E65" s="5" t="s">
        <v>1498</v>
      </c>
      <c r="F65" s="5" t="s">
        <v>469</v>
      </c>
    </row>
    <row r="66" spans="1:6" ht="27.6">
      <c r="A66" s="5" t="s">
        <v>480</v>
      </c>
      <c r="B66" s="5" t="s">
        <v>185</v>
      </c>
      <c r="C66" s="5" t="s">
        <v>29</v>
      </c>
      <c r="D66" s="5">
        <v>1</v>
      </c>
      <c r="E66" s="5" t="s">
        <v>1499</v>
      </c>
      <c r="F66" s="5" t="s">
        <v>482</v>
      </c>
    </row>
    <row r="67" spans="1:6" ht="27.6">
      <c r="A67" s="5" t="s">
        <v>480</v>
      </c>
      <c r="B67" s="5" t="s">
        <v>185</v>
      </c>
      <c r="C67" s="5" t="s">
        <v>29</v>
      </c>
      <c r="D67" s="5">
        <v>2</v>
      </c>
      <c r="E67" s="5" t="s">
        <v>1500</v>
      </c>
      <c r="F67" s="5" t="s">
        <v>482</v>
      </c>
    </row>
    <row r="68" spans="1:6" ht="27.6">
      <c r="A68" s="5" t="s">
        <v>480</v>
      </c>
      <c r="B68" s="5" t="s">
        <v>185</v>
      </c>
      <c r="C68" s="5" t="s">
        <v>29</v>
      </c>
      <c r="D68" s="5">
        <v>3</v>
      </c>
      <c r="E68" s="5" t="s">
        <v>1501</v>
      </c>
      <c r="F68" s="5" t="s">
        <v>482</v>
      </c>
    </row>
    <row r="69" spans="1:6" ht="27.6">
      <c r="A69" s="5" t="s">
        <v>493</v>
      </c>
      <c r="B69" s="5" t="s">
        <v>494</v>
      </c>
      <c r="C69" s="5" t="s">
        <v>29</v>
      </c>
      <c r="D69" s="5">
        <v>1</v>
      </c>
      <c r="E69" s="5" t="s">
        <v>1502</v>
      </c>
      <c r="F69" s="5" t="s">
        <v>496</v>
      </c>
    </row>
    <row r="70" spans="1:6" ht="27.6">
      <c r="A70" s="5" t="s">
        <v>493</v>
      </c>
      <c r="B70" s="5" t="s">
        <v>494</v>
      </c>
      <c r="C70" s="5" t="s">
        <v>29</v>
      </c>
      <c r="D70" s="5">
        <v>2</v>
      </c>
      <c r="E70" s="5" t="s">
        <v>244</v>
      </c>
      <c r="F70" s="5" t="s">
        <v>496</v>
      </c>
    </row>
    <row r="71" spans="1:6" ht="27.6">
      <c r="A71" s="5" t="s">
        <v>493</v>
      </c>
      <c r="B71" s="5" t="s">
        <v>494</v>
      </c>
      <c r="C71" s="5" t="s">
        <v>29</v>
      </c>
      <c r="D71" s="5">
        <v>3</v>
      </c>
      <c r="E71" s="5" t="s">
        <v>1503</v>
      </c>
      <c r="F71" s="5" t="s">
        <v>496</v>
      </c>
    </row>
    <row r="72" spans="1:6" ht="27.6">
      <c r="A72" s="5" t="s">
        <v>493</v>
      </c>
      <c r="B72" s="5" t="s">
        <v>494</v>
      </c>
      <c r="C72" s="5" t="s">
        <v>29</v>
      </c>
      <c r="D72" s="5">
        <v>4</v>
      </c>
      <c r="E72" s="5" t="s">
        <v>1504</v>
      </c>
      <c r="F72" s="5" t="s">
        <v>496</v>
      </c>
    </row>
    <row r="73" spans="1:6" ht="27.6">
      <c r="A73" s="5" t="s">
        <v>507</v>
      </c>
      <c r="B73" s="5" t="s">
        <v>508</v>
      </c>
      <c r="C73" s="5" t="s">
        <v>29</v>
      </c>
      <c r="D73" s="5">
        <v>1</v>
      </c>
      <c r="E73" s="5" t="s">
        <v>1505</v>
      </c>
      <c r="F73" s="5" t="s">
        <v>510</v>
      </c>
    </row>
    <row r="74" spans="1:6" ht="27.6">
      <c r="A74" s="5" t="s">
        <v>507</v>
      </c>
      <c r="B74" s="5" t="s">
        <v>508</v>
      </c>
      <c r="C74" s="5" t="s">
        <v>29</v>
      </c>
      <c r="D74" s="5">
        <v>2</v>
      </c>
      <c r="E74" s="5" t="s">
        <v>1506</v>
      </c>
      <c r="F74" s="5" t="s">
        <v>510</v>
      </c>
    </row>
    <row r="75" spans="1:6" ht="27.6">
      <c r="A75" s="5" t="s">
        <v>507</v>
      </c>
      <c r="B75" s="5" t="s">
        <v>508</v>
      </c>
      <c r="C75" s="5" t="s">
        <v>29</v>
      </c>
      <c r="D75" s="5">
        <v>3</v>
      </c>
      <c r="E75" s="5" t="s">
        <v>1507</v>
      </c>
      <c r="F75" s="5" t="s">
        <v>510</v>
      </c>
    </row>
    <row r="76" spans="1:6" ht="27.6">
      <c r="A76" s="5" t="s">
        <v>507</v>
      </c>
      <c r="B76" s="5" t="s">
        <v>508</v>
      </c>
      <c r="C76" s="5" t="s">
        <v>29</v>
      </c>
      <c r="D76" s="5">
        <v>4</v>
      </c>
      <c r="E76" s="5" t="s">
        <v>1508</v>
      </c>
      <c r="F76" s="5" t="s">
        <v>510</v>
      </c>
    </row>
    <row r="77" spans="1:6" ht="27.6">
      <c r="A77" s="5" t="s">
        <v>507</v>
      </c>
      <c r="B77" s="5" t="s">
        <v>508</v>
      </c>
      <c r="C77" s="5" t="s">
        <v>29</v>
      </c>
      <c r="D77" s="5">
        <v>5</v>
      </c>
      <c r="E77" s="5" t="s">
        <v>1509</v>
      </c>
      <c r="F77" s="5" t="s">
        <v>510</v>
      </c>
    </row>
    <row r="78" spans="1:6" ht="27.6">
      <c r="A78" s="5" t="s">
        <v>507</v>
      </c>
      <c r="B78" s="5" t="s">
        <v>508</v>
      </c>
      <c r="C78" s="5" t="s">
        <v>29</v>
      </c>
      <c r="D78" s="5">
        <v>6</v>
      </c>
      <c r="E78" s="5" t="s">
        <v>1510</v>
      </c>
      <c r="F78" s="5" t="s">
        <v>510</v>
      </c>
    </row>
    <row r="79" spans="1:6" ht="27.6">
      <c r="A79" s="5" t="s">
        <v>507</v>
      </c>
      <c r="B79" s="5" t="s">
        <v>508</v>
      </c>
      <c r="C79" s="5" t="s">
        <v>29</v>
      </c>
      <c r="D79" s="5">
        <v>7</v>
      </c>
      <c r="E79" s="5" t="s">
        <v>1511</v>
      </c>
      <c r="F79" s="5" t="s">
        <v>510</v>
      </c>
    </row>
    <row r="80" spans="1:6" ht="27.6">
      <c r="A80" s="5" t="s">
        <v>521</v>
      </c>
      <c r="B80" s="5" t="s">
        <v>522</v>
      </c>
      <c r="C80" s="5" t="s">
        <v>29</v>
      </c>
      <c r="D80" s="5">
        <v>1</v>
      </c>
      <c r="E80" s="5" t="s">
        <v>1512</v>
      </c>
      <c r="F80" s="5" t="s">
        <v>524</v>
      </c>
    </row>
    <row r="81" spans="1:6" ht="27.6">
      <c r="A81" s="5" t="s">
        <v>521</v>
      </c>
      <c r="B81" s="5" t="s">
        <v>522</v>
      </c>
      <c r="C81" s="5" t="s">
        <v>29</v>
      </c>
      <c r="D81" s="5">
        <v>2</v>
      </c>
      <c r="E81" s="5" t="s">
        <v>1513</v>
      </c>
      <c r="F81" s="5" t="s">
        <v>524</v>
      </c>
    </row>
    <row r="82" spans="1:6" ht="27.6">
      <c r="A82" s="5" t="s">
        <v>521</v>
      </c>
      <c r="B82" s="5" t="s">
        <v>522</v>
      </c>
      <c r="C82" s="5" t="s">
        <v>29</v>
      </c>
      <c r="D82" s="5">
        <v>3</v>
      </c>
      <c r="E82" s="5" t="s">
        <v>1514</v>
      </c>
      <c r="F82" s="5" t="s">
        <v>524</v>
      </c>
    </row>
    <row r="83" spans="1:6" ht="27.6">
      <c r="A83" s="5" t="s">
        <v>521</v>
      </c>
      <c r="B83" s="5" t="s">
        <v>522</v>
      </c>
      <c r="C83" s="5" t="s">
        <v>29</v>
      </c>
      <c r="D83" s="5">
        <v>4</v>
      </c>
      <c r="E83" s="5" t="s">
        <v>1515</v>
      </c>
      <c r="F83" s="5" t="s">
        <v>524</v>
      </c>
    </row>
    <row r="84" spans="1:6" ht="27.6">
      <c r="A84" s="5" t="s">
        <v>521</v>
      </c>
      <c r="B84" s="5" t="s">
        <v>522</v>
      </c>
      <c r="C84" s="5" t="s">
        <v>29</v>
      </c>
      <c r="D84" s="5">
        <v>5</v>
      </c>
      <c r="E84" s="5" t="s">
        <v>1516</v>
      </c>
      <c r="F84" s="5" t="s">
        <v>524</v>
      </c>
    </row>
    <row r="85" spans="1:6" ht="27.6">
      <c r="A85" s="5" t="s">
        <v>521</v>
      </c>
      <c r="B85" s="5" t="s">
        <v>522</v>
      </c>
      <c r="C85" s="5" t="s">
        <v>29</v>
      </c>
      <c r="D85" s="5">
        <v>6</v>
      </c>
      <c r="E85" s="5" t="s">
        <v>1517</v>
      </c>
      <c r="F85" s="5" t="s">
        <v>524</v>
      </c>
    </row>
    <row r="86" spans="1:6" ht="27.6">
      <c r="A86" s="5" t="s">
        <v>521</v>
      </c>
      <c r="B86" s="5" t="s">
        <v>522</v>
      </c>
      <c r="C86" s="5" t="s">
        <v>29</v>
      </c>
      <c r="D86" s="5">
        <v>7</v>
      </c>
      <c r="E86" s="5" t="s">
        <v>1518</v>
      </c>
      <c r="F86" s="5" t="s">
        <v>524</v>
      </c>
    </row>
    <row r="87" spans="1:6" ht="27.6">
      <c r="A87" s="5" t="s">
        <v>521</v>
      </c>
      <c r="B87" s="5" t="s">
        <v>522</v>
      </c>
      <c r="C87" s="5" t="s">
        <v>29</v>
      </c>
      <c r="D87" s="5">
        <v>8</v>
      </c>
      <c r="E87" s="5" t="s">
        <v>236</v>
      </c>
      <c r="F87" s="5" t="s">
        <v>524</v>
      </c>
    </row>
    <row r="88" spans="1:6" ht="27.6">
      <c r="A88" s="5" t="s">
        <v>535</v>
      </c>
      <c r="B88" s="5" t="s">
        <v>536</v>
      </c>
      <c r="C88" s="5" t="s">
        <v>29</v>
      </c>
      <c r="D88" s="5">
        <v>1</v>
      </c>
      <c r="E88" s="5" t="s">
        <v>1519</v>
      </c>
      <c r="F88" s="5" t="s">
        <v>538</v>
      </c>
    </row>
    <row r="89" spans="1:6" ht="27.6">
      <c r="A89" s="5" t="s">
        <v>535</v>
      </c>
      <c r="B89" s="5" t="s">
        <v>536</v>
      </c>
      <c r="C89" s="5" t="s">
        <v>29</v>
      </c>
      <c r="D89" s="5">
        <v>2</v>
      </c>
      <c r="E89" s="5" t="s">
        <v>230</v>
      </c>
      <c r="F89" s="5" t="s">
        <v>538</v>
      </c>
    </row>
    <row r="90" spans="1:6" ht="27.6">
      <c r="A90" s="5" t="s">
        <v>535</v>
      </c>
      <c r="B90" s="5" t="s">
        <v>536</v>
      </c>
      <c r="C90" s="5" t="s">
        <v>29</v>
      </c>
      <c r="D90" s="5">
        <v>3</v>
      </c>
      <c r="E90" s="5" t="s">
        <v>232</v>
      </c>
      <c r="F90" s="5" t="s">
        <v>538</v>
      </c>
    </row>
    <row r="91" spans="1:6" ht="27.6">
      <c r="A91" s="5" t="s">
        <v>535</v>
      </c>
      <c r="B91" s="5" t="s">
        <v>536</v>
      </c>
      <c r="C91" s="5" t="s">
        <v>29</v>
      </c>
      <c r="D91" s="5">
        <v>4</v>
      </c>
      <c r="E91" s="5" t="s">
        <v>1520</v>
      </c>
      <c r="F91" s="5" t="s">
        <v>538</v>
      </c>
    </row>
    <row r="92" spans="1:6" ht="27.6">
      <c r="A92" s="5" t="s">
        <v>535</v>
      </c>
      <c r="B92" s="5" t="s">
        <v>536</v>
      </c>
      <c r="C92" s="5" t="s">
        <v>29</v>
      </c>
      <c r="D92" s="5">
        <v>5</v>
      </c>
      <c r="E92" s="5" t="s">
        <v>1521</v>
      </c>
      <c r="F92" s="5" t="s">
        <v>538</v>
      </c>
    </row>
    <row r="93" spans="1:6" ht="27.6">
      <c r="A93" s="5" t="s">
        <v>535</v>
      </c>
      <c r="B93" s="5" t="s">
        <v>536</v>
      </c>
      <c r="C93" s="5" t="s">
        <v>29</v>
      </c>
      <c r="D93" s="5">
        <v>6</v>
      </c>
      <c r="E93" s="5" t="s">
        <v>236</v>
      </c>
      <c r="F93" s="5" t="s">
        <v>538</v>
      </c>
    </row>
    <row r="94" spans="1:6" ht="27.6">
      <c r="A94" s="5" t="s">
        <v>535</v>
      </c>
      <c r="B94" s="5" t="s">
        <v>536</v>
      </c>
      <c r="C94" s="5" t="s">
        <v>29</v>
      </c>
      <c r="D94" s="5">
        <v>7</v>
      </c>
      <c r="E94" s="5" t="s">
        <v>1522</v>
      </c>
      <c r="F94" s="5" t="s">
        <v>538</v>
      </c>
    </row>
    <row r="95" spans="1:6" ht="27.6">
      <c r="A95" s="5" t="s">
        <v>535</v>
      </c>
      <c r="B95" s="5" t="s">
        <v>536</v>
      </c>
      <c r="C95" s="5" t="s">
        <v>29</v>
      </c>
      <c r="D95" s="5">
        <v>8</v>
      </c>
      <c r="E95" s="5" t="s">
        <v>1523</v>
      </c>
      <c r="F95" s="5" t="s">
        <v>538</v>
      </c>
    </row>
    <row r="96" spans="1:6" ht="27.6">
      <c r="A96" s="5" t="s">
        <v>549</v>
      </c>
      <c r="B96" s="5" t="s">
        <v>269</v>
      </c>
      <c r="C96" s="5" t="s">
        <v>29</v>
      </c>
      <c r="D96" s="5">
        <v>1</v>
      </c>
      <c r="E96" s="5" t="s">
        <v>1524</v>
      </c>
      <c r="F96" s="5" t="s">
        <v>551</v>
      </c>
    </row>
    <row r="97" spans="1:6" ht="27.6">
      <c r="A97" s="5" t="s">
        <v>549</v>
      </c>
      <c r="B97" s="5" t="s">
        <v>269</v>
      </c>
      <c r="C97" s="5" t="s">
        <v>29</v>
      </c>
      <c r="D97" s="5">
        <v>2</v>
      </c>
      <c r="E97" s="5" t="s">
        <v>1525</v>
      </c>
      <c r="F97" s="5" t="s">
        <v>551</v>
      </c>
    </row>
    <row r="98" spans="1:6" ht="27.6">
      <c r="A98" s="5" t="s">
        <v>549</v>
      </c>
      <c r="B98" s="5" t="s">
        <v>269</v>
      </c>
      <c r="C98" s="5" t="s">
        <v>29</v>
      </c>
      <c r="D98" s="5">
        <v>3</v>
      </c>
      <c r="E98" s="5" t="s">
        <v>1526</v>
      </c>
      <c r="F98" s="5" t="s">
        <v>551</v>
      </c>
    </row>
    <row r="99" spans="1:6" ht="27.6">
      <c r="A99" s="5" t="s">
        <v>549</v>
      </c>
      <c r="B99" s="5" t="s">
        <v>269</v>
      </c>
      <c r="C99" s="5" t="s">
        <v>29</v>
      </c>
      <c r="D99" s="5">
        <v>4</v>
      </c>
      <c r="E99" s="5" t="s">
        <v>1527</v>
      </c>
      <c r="F99" s="5" t="s">
        <v>551</v>
      </c>
    </row>
    <row r="100" spans="1:6" ht="27.6">
      <c r="A100" s="5" t="s">
        <v>549</v>
      </c>
      <c r="B100" s="5" t="s">
        <v>269</v>
      </c>
      <c r="C100" s="5" t="s">
        <v>29</v>
      </c>
      <c r="D100" s="5">
        <v>5</v>
      </c>
      <c r="E100" s="5" t="s">
        <v>1475</v>
      </c>
      <c r="F100" s="5" t="s">
        <v>551</v>
      </c>
    </row>
    <row r="101" spans="1:6" ht="27.6">
      <c r="A101" s="5" t="s">
        <v>549</v>
      </c>
      <c r="B101" s="5" t="s">
        <v>269</v>
      </c>
      <c r="C101" s="5" t="s">
        <v>29</v>
      </c>
      <c r="D101" s="5">
        <v>6</v>
      </c>
      <c r="E101" s="5" t="s">
        <v>1528</v>
      </c>
      <c r="F101" s="5" t="s">
        <v>551</v>
      </c>
    </row>
    <row r="102" spans="1:6" ht="27.6">
      <c r="A102" s="5" t="s">
        <v>549</v>
      </c>
      <c r="B102" s="5" t="s">
        <v>269</v>
      </c>
      <c r="C102" s="5" t="s">
        <v>29</v>
      </c>
      <c r="D102" s="5">
        <v>7</v>
      </c>
      <c r="E102" s="5" t="s">
        <v>1529</v>
      </c>
      <c r="F102" s="5" t="s">
        <v>551</v>
      </c>
    </row>
    <row r="103" spans="1:6" ht="27.6">
      <c r="A103" s="5" t="s">
        <v>562</v>
      </c>
      <c r="B103" s="5" t="s">
        <v>563</v>
      </c>
      <c r="C103" s="5" t="s">
        <v>29</v>
      </c>
      <c r="D103" s="5">
        <v>1</v>
      </c>
      <c r="E103" s="5" t="s">
        <v>1530</v>
      </c>
      <c r="F103" s="5" t="s">
        <v>565</v>
      </c>
    </row>
    <row r="104" spans="1:6" ht="27.6">
      <c r="A104" s="5" t="s">
        <v>562</v>
      </c>
      <c r="B104" s="5" t="s">
        <v>563</v>
      </c>
      <c r="C104" s="5" t="s">
        <v>29</v>
      </c>
      <c r="D104" s="5">
        <v>2</v>
      </c>
      <c r="E104" s="5" t="s">
        <v>1531</v>
      </c>
      <c r="F104" s="5" t="s">
        <v>565</v>
      </c>
    </row>
    <row r="105" spans="1:6" ht="27.6">
      <c r="A105" s="5" t="s">
        <v>576</v>
      </c>
      <c r="B105" s="5" t="s">
        <v>577</v>
      </c>
      <c r="C105" s="5" t="s">
        <v>29</v>
      </c>
      <c r="D105" s="5">
        <v>1</v>
      </c>
      <c r="E105" s="5" t="s">
        <v>1532</v>
      </c>
      <c r="F105" s="5" t="s">
        <v>579</v>
      </c>
    </row>
    <row r="106" spans="1:6" ht="27.6">
      <c r="A106" s="5" t="s">
        <v>576</v>
      </c>
      <c r="B106" s="5" t="s">
        <v>577</v>
      </c>
      <c r="C106" s="5" t="s">
        <v>29</v>
      </c>
      <c r="D106" s="5">
        <v>2</v>
      </c>
      <c r="E106" s="5" t="s">
        <v>1533</v>
      </c>
      <c r="F106" s="5" t="s">
        <v>579</v>
      </c>
    </row>
    <row r="107" spans="1:6" ht="27.6">
      <c r="A107" s="5" t="s">
        <v>576</v>
      </c>
      <c r="B107" s="5" t="s">
        <v>577</v>
      </c>
      <c r="C107" s="5" t="s">
        <v>29</v>
      </c>
      <c r="D107" s="5">
        <v>3</v>
      </c>
      <c r="E107" s="5" t="s">
        <v>1534</v>
      </c>
      <c r="F107" s="5" t="s">
        <v>579</v>
      </c>
    </row>
    <row r="108" spans="1:6" ht="27.6">
      <c r="A108" s="5" t="s">
        <v>576</v>
      </c>
      <c r="B108" s="5" t="s">
        <v>577</v>
      </c>
      <c r="C108" s="5" t="s">
        <v>29</v>
      </c>
      <c r="D108" s="5">
        <v>4</v>
      </c>
      <c r="E108" s="5" t="s">
        <v>1535</v>
      </c>
      <c r="F108" s="5" t="s">
        <v>579</v>
      </c>
    </row>
    <row r="109" spans="1:6" ht="27.6">
      <c r="A109" s="5" t="s">
        <v>589</v>
      </c>
      <c r="B109" s="5" t="s">
        <v>590</v>
      </c>
      <c r="C109" s="5" t="s">
        <v>29</v>
      </c>
      <c r="D109" s="5">
        <v>1</v>
      </c>
      <c r="E109" s="5" t="s">
        <v>1536</v>
      </c>
      <c r="F109" s="5" t="s">
        <v>592</v>
      </c>
    </row>
    <row r="110" spans="1:6" ht="27.6">
      <c r="A110" s="5" t="s">
        <v>589</v>
      </c>
      <c r="B110" s="5" t="s">
        <v>590</v>
      </c>
      <c r="C110" s="5" t="s">
        <v>29</v>
      </c>
      <c r="D110" s="5">
        <v>2</v>
      </c>
      <c r="E110" s="5" t="s">
        <v>1537</v>
      </c>
      <c r="F110" s="5" t="s">
        <v>592</v>
      </c>
    </row>
    <row r="111" spans="1:6" ht="27.6">
      <c r="A111" s="5" t="s">
        <v>589</v>
      </c>
      <c r="B111" s="5" t="s">
        <v>590</v>
      </c>
      <c r="C111" s="5" t="s">
        <v>29</v>
      </c>
      <c r="D111" s="5">
        <v>3</v>
      </c>
      <c r="E111" s="5" t="s">
        <v>1474</v>
      </c>
      <c r="F111" s="5" t="s">
        <v>592</v>
      </c>
    </row>
    <row r="112" spans="1:6" ht="27.6">
      <c r="A112" s="5" t="s">
        <v>589</v>
      </c>
      <c r="B112" s="5" t="s">
        <v>590</v>
      </c>
      <c r="C112" s="5" t="s">
        <v>29</v>
      </c>
      <c r="D112" s="5">
        <v>4</v>
      </c>
      <c r="E112" s="5" t="s">
        <v>1457</v>
      </c>
      <c r="F112" s="5" t="s">
        <v>592</v>
      </c>
    </row>
    <row r="113" spans="1:6" ht="27.6">
      <c r="A113" s="5" t="s">
        <v>589</v>
      </c>
      <c r="B113" s="5" t="s">
        <v>590</v>
      </c>
      <c r="C113" s="5" t="s">
        <v>29</v>
      </c>
      <c r="D113" s="5">
        <v>5</v>
      </c>
      <c r="E113" s="5" t="s">
        <v>1484</v>
      </c>
      <c r="F113" s="5" t="s">
        <v>592</v>
      </c>
    </row>
    <row r="114" spans="1:6" ht="27.6">
      <c r="A114" s="5" t="s">
        <v>589</v>
      </c>
      <c r="B114" s="5" t="s">
        <v>590</v>
      </c>
      <c r="C114" s="5" t="s">
        <v>29</v>
      </c>
      <c r="D114" s="5">
        <v>6</v>
      </c>
      <c r="E114" s="5" t="s">
        <v>1538</v>
      </c>
      <c r="F114" s="5" t="s">
        <v>592</v>
      </c>
    </row>
    <row r="115" spans="1:6" ht="27.6">
      <c r="A115" s="5" t="s">
        <v>589</v>
      </c>
      <c r="B115" s="5" t="s">
        <v>590</v>
      </c>
      <c r="C115" s="5" t="s">
        <v>29</v>
      </c>
      <c r="D115" s="5">
        <v>7</v>
      </c>
      <c r="E115" s="5" t="s">
        <v>1539</v>
      </c>
      <c r="F115" s="5" t="s">
        <v>592</v>
      </c>
    </row>
    <row r="116" spans="1:6" ht="27.6">
      <c r="A116" s="5" t="s">
        <v>603</v>
      </c>
      <c r="B116" s="5" t="s">
        <v>604</v>
      </c>
      <c r="C116" s="5" t="s">
        <v>29</v>
      </c>
      <c r="D116" s="5">
        <v>1</v>
      </c>
      <c r="E116" s="5" t="s">
        <v>1486</v>
      </c>
      <c r="F116" s="5" t="s">
        <v>606</v>
      </c>
    </row>
    <row r="117" spans="1:6" ht="27.6">
      <c r="A117" s="5" t="s">
        <v>603</v>
      </c>
      <c r="B117" s="5" t="s">
        <v>604</v>
      </c>
      <c r="C117" s="5" t="s">
        <v>29</v>
      </c>
      <c r="D117" s="5">
        <v>2</v>
      </c>
      <c r="E117" s="5" t="s">
        <v>1540</v>
      </c>
      <c r="F117" s="5" t="s">
        <v>606</v>
      </c>
    </row>
    <row r="118" spans="1:6" ht="27.6">
      <c r="A118" s="5" t="s">
        <v>603</v>
      </c>
      <c r="B118" s="5" t="s">
        <v>604</v>
      </c>
      <c r="C118" s="5" t="s">
        <v>29</v>
      </c>
      <c r="D118" s="5">
        <v>3</v>
      </c>
      <c r="E118" s="5" t="s">
        <v>1541</v>
      </c>
      <c r="F118" s="5" t="s">
        <v>606</v>
      </c>
    </row>
    <row r="119" spans="1:6" ht="27.6">
      <c r="A119" s="5" t="s">
        <v>603</v>
      </c>
      <c r="B119" s="5" t="s">
        <v>604</v>
      </c>
      <c r="C119" s="5" t="s">
        <v>29</v>
      </c>
      <c r="D119" s="5">
        <v>4</v>
      </c>
      <c r="E119" s="5" t="s">
        <v>1542</v>
      </c>
      <c r="F119" s="5" t="s">
        <v>606</v>
      </c>
    </row>
    <row r="120" spans="1:6" ht="27.6">
      <c r="A120" s="5" t="s">
        <v>617</v>
      </c>
      <c r="B120" s="5" t="s">
        <v>618</v>
      </c>
      <c r="C120" s="5" t="s">
        <v>29</v>
      </c>
      <c r="D120" s="5">
        <v>1</v>
      </c>
      <c r="E120" s="5" t="s">
        <v>1543</v>
      </c>
      <c r="F120" s="5" t="s">
        <v>620</v>
      </c>
    </row>
    <row r="121" spans="1:6" ht="27.6">
      <c r="A121" s="5" t="s">
        <v>617</v>
      </c>
      <c r="B121" s="5" t="s">
        <v>618</v>
      </c>
      <c r="C121" s="5" t="s">
        <v>29</v>
      </c>
      <c r="D121" s="5">
        <v>2</v>
      </c>
      <c r="E121" s="5" t="s">
        <v>1544</v>
      </c>
      <c r="F121" s="5" t="s">
        <v>620</v>
      </c>
    </row>
    <row r="122" spans="1:6" ht="27.6">
      <c r="A122" s="5" t="s">
        <v>617</v>
      </c>
      <c r="B122" s="5" t="s">
        <v>618</v>
      </c>
      <c r="C122" s="5" t="s">
        <v>29</v>
      </c>
      <c r="D122" s="5">
        <v>3</v>
      </c>
      <c r="E122" s="5" t="s">
        <v>1518</v>
      </c>
      <c r="F122" s="5" t="s">
        <v>620</v>
      </c>
    </row>
    <row r="123" spans="1:6" ht="27.6">
      <c r="A123" s="5" t="s">
        <v>617</v>
      </c>
      <c r="B123" s="5" t="s">
        <v>618</v>
      </c>
      <c r="C123" s="5" t="s">
        <v>29</v>
      </c>
      <c r="D123" s="5">
        <v>4</v>
      </c>
      <c r="E123" s="5" t="s">
        <v>1545</v>
      </c>
      <c r="F123" s="5" t="s">
        <v>620</v>
      </c>
    </row>
    <row r="124" spans="1:6" ht="27.6">
      <c r="A124" s="5" t="s">
        <v>630</v>
      </c>
      <c r="B124" s="5" t="s">
        <v>631</v>
      </c>
      <c r="C124" s="5" t="s">
        <v>29</v>
      </c>
      <c r="D124" s="5">
        <v>1</v>
      </c>
      <c r="E124" s="5" t="s">
        <v>1546</v>
      </c>
      <c r="F124" s="5" t="s">
        <v>633</v>
      </c>
    </row>
    <row r="125" spans="1:6" ht="27.6">
      <c r="A125" s="5" t="s">
        <v>630</v>
      </c>
      <c r="B125" s="5" t="s">
        <v>631</v>
      </c>
      <c r="C125" s="5" t="s">
        <v>29</v>
      </c>
      <c r="D125" s="5">
        <v>2</v>
      </c>
      <c r="E125" s="5" t="s">
        <v>1484</v>
      </c>
      <c r="F125" s="5" t="s">
        <v>633</v>
      </c>
    </row>
    <row r="126" spans="1:6" ht="27.6">
      <c r="A126" s="5" t="s">
        <v>630</v>
      </c>
      <c r="B126" s="5" t="s">
        <v>631</v>
      </c>
      <c r="C126" s="5" t="s">
        <v>29</v>
      </c>
      <c r="D126" s="5">
        <v>3</v>
      </c>
      <c r="E126" s="5" t="s">
        <v>1485</v>
      </c>
      <c r="F126" s="5" t="s">
        <v>633</v>
      </c>
    </row>
    <row r="127" spans="1:6" ht="27.6">
      <c r="A127" s="5" t="s">
        <v>630</v>
      </c>
      <c r="B127" s="5" t="s">
        <v>631</v>
      </c>
      <c r="C127" s="5" t="s">
        <v>29</v>
      </c>
      <c r="D127" s="5">
        <v>4</v>
      </c>
      <c r="E127" s="5" t="s">
        <v>244</v>
      </c>
      <c r="F127" s="5" t="s">
        <v>633</v>
      </c>
    </row>
    <row r="128" spans="1:6" ht="27.6">
      <c r="A128" s="5" t="s">
        <v>630</v>
      </c>
      <c r="B128" s="5" t="s">
        <v>631</v>
      </c>
      <c r="C128" s="5" t="s">
        <v>29</v>
      </c>
      <c r="D128" s="5">
        <v>5</v>
      </c>
      <c r="E128" s="5" t="s">
        <v>1547</v>
      </c>
      <c r="F128" s="5" t="s">
        <v>633</v>
      </c>
    </row>
    <row r="129" spans="1:6" ht="27.6">
      <c r="A129" s="5" t="s">
        <v>644</v>
      </c>
      <c r="B129" s="5" t="s">
        <v>645</v>
      </c>
      <c r="C129" s="5" t="s">
        <v>29</v>
      </c>
      <c r="D129" s="5">
        <v>1</v>
      </c>
      <c r="E129" s="5" t="s">
        <v>1548</v>
      </c>
      <c r="F129" s="5" t="s">
        <v>647</v>
      </c>
    </row>
    <row r="130" spans="1:6" ht="27.6">
      <c r="A130" s="5" t="s">
        <v>644</v>
      </c>
      <c r="B130" s="5" t="s">
        <v>645</v>
      </c>
      <c r="C130" s="5" t="s">
        <v>29</v>
      </c>
      <c r="D130" s="5">
        <v>2</v>
      </c>
      <c r="E130" s="5" t="s">
        <v>1549</v>
      </c>
      <c r="F130" s="5" t="s">
        <v>647</v>
      </c>
    </row>
    <row r="131" spans="1:6" ht="27.6">
      <c r="A131" s="5" t="s">
        <v>658</v>
      </c>
      <c r="B131" s="5" t="s">
        <v>659</v>
      </c>
      <c r="C131" s="5" t="s">
        <v>29</v>
      </c>
      <c r="D131" s="5">
        <v>1</v>
      </c>
      <c r="E131" s="5" t="s">
        <v>1550</v>
      </c>
      <c r="F131" s="5" t="s">
        <v>661</v>
      </c>
    </row>
    <row r="132" spans="1:6" ht="27.6">
      <c r="A132" s="5" t="s">
        <v>658</v>
      </c>
      <c r="B132" s="5" t="s">
        <v>659</v>
      </c>
      <c r="C132" s="5" t="s">
        <v>29</v>
      </c>
      <c r="D132" s="5">
        <v>2</v>
      </c>
      <c r="E132" s="5" t="s">
        <v>1551</v>
      </c>
      <c r="F132" s="5" t="s">
        <v>661</v>
      </c>
    </row>
    <row r="133" spans="1:6" ht="27.6">
      <c r="A133" s="5" t="s">
        <v>658</v>
      </c>
      <c r="B133" s="5" t="s">
        <v>659</v>
      </c>
      <c r="C133" s="5" t="s">
        <v>29</v>
      </c>
      <c r="D133" s="5">
        <v>3</v>
      </c>
      <c r="E133" s="5" t="s">
        <v>1552</v>
      </c>
      <c r="F133" s="5" t="s">
        <v>661</v>
      </c>
    </row>
    <row r="134" spans="1:6" ht="27.6">
      <c r="A134" s="5" t="s">
        <v>658</v>
      </c>
      <c r="B134" s="5" t="s">
        <v>659</v>
      </c>
      <c r="C134" s="5" t="s">
        <v>29</v>
      </c>
      <c r="D134" s="5">
        <v>4</v>
      </c>
      <c r="E134" s="5" t="s">
        <v>1553</v>
      </c>
      <c r="F134" s="5" t="s">
        <v>661</v>
      </c>
    </row>
    <row r="135" spans="1:6" ht="27.6">
      <c r="A135" s="5" t="s">
        <v>658</v>
      </c>
      <c r="B135" s="5" t="s">
        <v>659</v>
      </c>
      <c r="C135" s="5" t="s">
        <v>29</v>
      </c>
      <c r="D135" s="5">
        <v>5</v>
      </c>
      <c r="E135" s="5" t="s">
        <v>1554</v>
      </c>
      <c r="F135" s="5" t="s">
        <v>661</v>
      </c>
    </row>
    <row r="136" spans="1:6" ht="27.6">
      <c r="A136" s="5" t="s">
        <v>658</v>
      </c>
      <c r="B136" s="5" t="s">
        <v>659</v>
      </c>
      <c r="C136" s="5" t="s">
        <v>29</v>
      </c>
      <c r="D136" s="5">
        <v>6</v>
      </c>
      <c r="E136" s="5" t="s">
        <v>1555</v>
      </c>
      <c r="F136" s="5" t="s">
        <v>661</v>
      </c>
    </row>
    <row r="137" spans="1:6" ht="27.6">
      <c r="A137" s="5" t="s">
        <v>672</v>
      </c>
      <c r="B137" s="5" t="s">
        <v>673</v>
      </c>
      <c r="C137" s="5" t="s">
        <v>29</v>
      </c>
      <c r="D137" s="5">
        <v>1</v>
      </c>
      <c r="E137" s="5" t="s">
        <v>1556</v>
      </c>
      <c r="F137" s="5" t="s">
        <v>675</v>
      </c>
    </row>
    <row r="138" spans="1:6" ht="27.6">
      <c r="A138" s="5" t="s">
        <v>672</v>
      </c>
      <c r="B138" s="5" t="s">
        <v>673</v>
      </c>
      <c r="C138" s="5" t="s">
        <v>29</v>
      </c>
      <c r="D138" s="5">
        <v>2</v>
      </c>
      <c r="E138" s="5" t="s">
        <v>1557</v>
      </c>
      <c r="F138" s="5" t="s">
        <v>675</v>
      </c>
    </row>
    <row r="139" spans="1:6" ht="27.6">
      <c r="A139" s="5" t="s">
        <v>672</v>
      </c>
      <c r="B139" s="5" t="s">
        <v>673</v>
      </c>
      <c r="C139" s="5" t="s">
        <v>29</v>
      </c>
      <c r="D139" s="5">
        <v>3</v>
      </c>
      <c r="E139" s="5" t="s">
        <v>1558</v>
      </c>
      <c r="F139" s="5" t="s">
        <v>675</v>
      </c>
    </row>
    <row r="140" spans="1:6" ht="27.6">
      <c r="A140" s="5" t="s">
        <v>672</v>
      </c>
      <c r="B140" s="5" t="s">
        <v>673</v>
      </c>
      <c r="C140" s="5" t="s">
        <v>29</v>
      </c>
      <c r="D140" s="5">
        <v>4</v>
      </c>
      <c r="E140" s="5" t="s">
        <v>1559</v>
      </c>
      <c r="F140" s="5" t="s">
        <v>675</v>
      </c>
    </row>
    <row r="141" spans="1:6">
      <c r="A141" s="5" t="s">
        <v>686</v>
      </c>
      <c r="B141" s="5" t="s">
        <v>687</v>
      </c>
      <c r="C141" s="5" t="s">
        <v>17</v>
      </c>
      <c r="D141" s="5">
        <v>1</v>
      </c>
      <c r="E141" s="5" t="s">
        <v>1560</v>
      </c>
      <c r="F141" s="5" t="s">
        <v>689</v>
      </c>
    </row>
    <row r="142" spans="1:6">
      <c r="A142" s="5" t="s">
        <v>686</v>
      </c>
      <c r="B142" s="5" t="s">
        <v>687</v>
      </c>
      <c r="C142" s="5" t="s">
        <v>17</v>
      </c>
      <c r="D142" s="5">
        <v>2</v>
      </c>
      <c r="E142" s="5" t="s">
        <v>232</v>
      </c>
      <c r="F142" s="5" t="s">
        <v>689</v>
      </c>
    </row>
    <row r="143" spans="1:6">
      <c r="A143" s="5" t="s">
        <v>686</v>
      </c>
      <c r="B143" s="5" t="s">
        <v>687</v>
      </c>
      <c r="C143" s="5" t="s">
        <v>17</v>
      </c>
      <c r="D143" s="5">
        <v>3</v>
      </c>
      <c r="E143" s="5" t="s">
        <v>1561</v>
      </c>
      <c r="F143" s="5" t="s">
        <v>689</v>
      </c>
    </row>
    <row r="144" spans="1:6">
      <c r="A144" s="5" t="s">
        <v>686</v>
      </c>
      <c r="B144" s="5" t="s">
        <v>687</v>
      </c>
      <c r="C144" s="5" t="s">
        <v>17</v>
      </c>
      <c r="D144" s="5">
        <v>4</v>
      </c>
      <c r="E144" s="5" t="s">
        <v>1562</v>
      </c>
      <c r="F144" s="5" t="s">
        <v>689</v>
      </c>
    </row>
    <row r="145" spans="1:6">
      <c r="A145" s="5" t="s">
        <v>686</v>
      </c>
      <c r="B145" s="5" t="s">
        <v>687</v>
      </c>
      <c r="C145" s="5" t="s">
        <v>17</v>
      </c>
      <c r="D145" s="5">
        <v>5</v>
      </c>
      <c r="E145" s="5" t="s">
        <v>1563</v>
      </c>
      <c r="F145" s="5" t="s">
        <v>689</v>
      </c>
    </row>
    <row r="146" spans="1:6">
      <c r="A146" s="5" t="s">
        <v>686</v>
      </c>
      <c r="B146" s="5" t="s">
        <v>687</v>
      </c>
      <c r="C146" s="5" t="s">
        <v>17</v>
      </c>
      <c r="D146" s="5">
        <v>6</v>
      </c>
      <c r="E146" s="5" t="s">
        <v>1564</v>
      </c>
      <c r="F146" s="5" t="s">
        <v>689</v>
      </c>
    </row>
    <row r="147" spans="1:6">
      <c r="A147" s="5" t="s">
        <v>701</v>
      </c>
      <c r="B147" s="5" t="s">
        <v>702</v>
      </c>
      <c r="C147" s="5" t="s">
        <v>17</v>
      </c>
      <c r="D147" s="5">
        <v>1</v>
      </c>
      <c r="E147" s="5" t="s">
        <v>1565</v>
      </c>
      <c r="F147" s="5" t="s">
        <v>704</v>
      </c>
    </row>
    <row r="148" spans="1:6">
      <c r="A148" s="5" t="s">
        <v>701</v>
      </c>
      <c r="B148" s="5" t="s">
        <v>702</v>
      </c>
      <c r="C148" s="5" t="s">
        <v>17</v>
      </c>
      <c r="D148" s="5">
        <v>2</v>
      </c>
      <c r="E148" s="5" t="s">
        <v>1476</v>
      </c>
      <c r="F148" s="5" t="s">
        <v>704</v>
      </c>
    </row>
    <row r="149" spans="1:6">
      <c r="A149" s="5" t="s">
        <v>715</v>
      </c>
      <c r="B149" s="5" t="s">
        <v>716</v>
      </c>
      <c r="C149" s="5" t="s">
        <v>17</v>
      </c>
      <c r="D149" s="5">
        <v>1</v>
      </c>
      <c r="E149" s="5" t="s">
        <v>1488</v>
      </c>
      <c r="F149" s="5" t="s">
        <v>718</v>
      </c>
    </row>
    <row r="150" spans="1:6">
      <c r="A150" s="5" t="s">
        <v>715</v>
      </c>
      <c r="B150" s="5" t="s">
        <v>716</v>
      </c>
      <c r="C150" s="5" t="s">
        <v>17</v>
      </c>
      <c r="D150" s="5">
        <v>2</v>
      </c>
      <c r="E150" s="5" t="s">
        <v>1566</v>
      </c>
      <c r="F150" s="5" t="s">
        <v>718</v>
      </c>
    </row>
    <row r="151" spans="1:6">
      <c r="A151" s="5" t="s">
        <v>715</v>
      </c>
      <c r="B151" s="5" t="s">
        <v>716</v>
      </c>
      <c r="C151" s="5" t="s">
        <v>17</v>
      </c>
      <c r="D151" s="5">
        <v>3</v>
      </c>
      <c r="E151" s="5" t="s">
        <v>1567</v>
      </c>
      <c r="F151" s="5" t="s">
        <v>718</v>
      </c>
    </row>
    <row r="152" spans="1:6">
      <c r="A152" s="5" t="s">
        <v>715</v>
      </c>
      <c r="B152" s="5" t="s">
        <v>716</v>
      </c>
      <c r="C152" s="5" t="s">
        <v>17</v>
      </c>
      <c r="D152" s="5">
        <v>4</v>
      </c>
      <c r="E152" s="5" t="s">
        <v>1508</v>
      </c>
      <c r="F152" s="5" t="s">
        <v>718</v>
      </c>
    </row>
    <row r="153" spans="1:6">
      <c r="A153" s="5" t="s">
        <v>715</v>
      </c>
      <c r="B153" s="5" t="s">
        <v>716</v>
      </c>
      <c r="C153" s="5" t="s">
        <v>17</v>
      </c>
      <c r="D153" s="5">
        <v>5</v>
      </c>
      <c r="E153" s="5" t="s">
        <v>1568</v>
      </c>
      <c r="F153" s="5" t="s">
        <v>718</v>
      </c>
    </row>
    <row r="154" spans="1:6">
      <c r="A154" s="5" t="s">
        <v>715</v>
      </c>
      <c r="B154" s="5" t="s">
        <v>716</v>
      </c>
      <c r="C154" s="5" t="s">
        <v>17</v>
      </c>
      <c r="D154" s="5">
        <v>6</v>
      </c>
      <c r="E154" s="5" t="s">
        <v>1569</v>
      </c>
      <c r="F154" s="5" t="s">
        <v>718</v>
      </c>
    </row>
    <row r="155" spans="1:6">
      <c r="A155" s="5" t="s">
        <v>729</v>
      </c>
      <c r="B155" s="5" t="s">
        <v>730</v>
      </c>
      <c r="C155" s="5" t="s">
        <v>17</v>
      </c>
      <c r="D155" s="5">
        <v>1</v>
      </c>
      <c r="E155" s="5" t="s">
        <v>1476</v>
      </c>
      <c r="F155" s="5" t="s">
        <v>732</v>
      </c>
    </row>
    <row r="156" spans="1:6">
      <c r="A156" s="5" t="s">
        <v>729</v>
      </c>
      <c r="B156" s="5" t="s">
        <v>730</v>
      </c>
      <c r="C156" s="5" t="s">
        <v>17</v>
      </c>
      <c r="D156" s="5">
        <v>2</v>
      </c>
      <c r="E156" s="5" t="s">
        <v>1570</v>
      </c>
      <c r="F156" s="5" t="s">
        <v>732</v>
      </c>
    </row>
    <row r="157" spans="1:6">
      <c r="A157" s="5" t="s">
        <v>729</v>
      </c>
      <c r="B157" s="5" t="s">
        <v>730</v>
      </c>
      <c r="C157" s="5" t="s">
        <v>17</v>
      </c>
      <c r="D157" s="5">
        <v>3</v>
      </c>
      <c r="E157" s="5" t="s">
        <v>1518</v>
      </c>
      <c r="F157" s="5" t="s">
        <v>732</v>
      </c>
    </row>
    <row r="158" spans="1:6">
      <c r="A158" s="5" t="s">
        <v>729</v>
      </c>
      <c r="B158" s="5" t="s">
        <v>730</v>
      </c>
      <c r="C158" s="5" t="s">
        <v>17</v>
      </c>
      <c r="D158" s="5">
        <v>4</v>
      </c>
      <c r="E158" s="5" t="s">
        <v>1571</v>
      </c>
      <c r="F158" s="5" t="s">
        <v>732</v>
      </c>
    </row>
    <row r="159" spans="1:6">
      <c r="A159" s="5" t="s">
        <v>729</v>
      </c>
      <c r="B159" s="5" t="s">
        <v>730</v>
      </c>
      <c r="C159" s="5" t="s">
        <v>17</v>
      </c>
      <c r="D159" s="5">
        <v>5</v>
      </c>
      <c r="E159" s="5" t="s">
        <v>1572</v>
      </c>
      <c r="F159" s="5" t="s">
        <v>732</v>
      </c>
    </row>
    <row r="160" spans="1:6">
      <c r="A160" s="5" t="s">
        <v>744</v>
      </c>
      <c r="B160" s="5" t="s">
        <v>745</v>
      </c>
      <c r="C160" s="5" t="s">
        <v>17</v>
      </c>
      <c r="D160" s="5">
        <v>1</v>
      </c>
      <c r="E160" s="5" t="s">
        <v>1561</v>
      </c>
      <c r="F160" s="5" t="s">
        <v>732</v>
      </c>
    </row>
    <row r="161" spans="1:6">
      <c r="A161" s="5" t="s">
        <v>744</v>
      </c>
      <c r="B161" s="5" t="s">
        <v>745</v>
      </c>
      <c r="C161" s="5" t="s">
        <v>17</v>
      </c>
      <c r="D161" s="5">
        <v>2</v>
      </c>
      <c r="E161" s="5" t="s">
        <v>1466</v>
      </c>
      <c r="F161" s="5" t="s">
        <v>732</v>
      </c>
    </row>
    <row r="162" spans="1:6">
      <c r="A162" s="5" t="s">
        <v>744</v>
      </c>
      <c r="B162" s="5" t="s">
        <v>745</v>
      </c>
      <c r="C162" s="5" t="s">
        <v>17</v>
      </c>
      <c r="D162" s="5">
        <v>3</v>
      </c>
      <c r="E162" s="5" t="s">
        <v>1573</v>
      </c>
      <c r="F162" s="5" t="s">
        <v>732</v>
      </c>
    </row>
    <row r="163" spans="1:6">
      <c r="A163" s="5" t="s">
        <v>744</v>
      </c>
      <c r="B163" s="5" t="s">
        <v>745</v>
      </c>
      <c r="C163" s="5" t="s">
        <v>17</v>
      </c>
      <c r="D163" s="5">
        <v>4</v>
      </c>
      <c r="E163" s="5" t="s">
        <v>1574</v>
      </c>
      <c r="F163" s="5" t="s">
        <v>732</v>
      </c>
    </row>
    <row r="164" spans="1:6">
      <c r="A164" s="5" t="s">
        <v>744</v>
      </c>
      <c r="B164" s="5" t="s">
        <v>745</v>
      </c>
      <c r="C164" s="5" t="s">
        <v>17</v>
      </c>
      <c r="D164" s="5">
        <v>5</v>
      </c>
      <c r="E164" s="5" t="s">
        <v>1575</v>
      </c>
      <c r="F164" s="5" t="s">
        <v>732</v>
      </c>
    </row>
    <row r="165" spans="1:6">
      <c r="A165" s="5" t="s">
        <v>744</v>
      </c>
      <c r="B165" s="5" t="s">
        <v>745</v>
      </c>
      <c r="C165" s="5" t="s">
        <v>17</v>
      </c>
      <c r="D165" s="5">
        <v>6</v>
      </c>
      <c r="E165" s="5" t="s">
        <v>1576</v>
      </c>
      <c r="F165" s="5" t="s">
        <v>732</v>
      </c>
    </row>
    <row r="166" spans="1:6">
      <c r="A166" s="5" t="s">
        <v>757</v>
      </c>
      <c r="B166" s="5" t="s">
        <v>758</v>
      </c>
      <c r="C166" s="5" t="s">
        <v>17</v>
      </c>
      <c r="D166" s="5">
        <v>1</v>
      </c>
      <c r="E166" s="5" t="s">
        <v>1577</v>
      </c>
      <c r="F166" s="5" t="s">
        <v>732</v>
      </c>
    </row>
    <row r="167" spans="1:6">
      <c r="A167" s="5" t="s">
        <v>757</v>
      </c>
      <c r="B167" s="5" t="s">
        <v>758</v>
      </c>
      <c r="C167" s="5" t="s">
        <v>17</v>
      </c>
      <c r="D167" s="5">
        <v>2</v>
      </c>
      <c r="E167" s="5" t="s">
        <v>1474</v>
      </c>
      <c r="F167" s="5" t="s">
        <v>732</v>
      </c>
    </row>
    <row r="168" spans="1:6">
      <c r="A168" s="5" t="s">
        <v>757</v>
      </c>
      <c r="B168" s="5" t="s">
        <v>758</v>
      </c>
      <c r="C168" s="5" t="s">
        <v>17</v>
      </c>
      <c r="D168" s="5">
        <v>3</v>
      </c>
      <c r="E168" s="5" t="s">
        <v>1475</v>
      </c>
      <c r="F168" s="5" t="s">
        <v>732</v>
      </c>
    </row>
    <row r="169" spans="1:6">
      <c r="A169" s="5" t="s">
        <v>757</v>
      </c>
      <c r="B169" s="5" t="s">
        <v>758</v>
      </c>
      <c r="C169" s="5" t="s">
        <v>17</v>
      </c>
      <c r="D169" s="5">
        <v>4</v>
      </c>
      <c r="E169" s="5" t="s">
        <v>1571</v>
      </c>
      <c r="F169" s="5" t="s">
        <v>732</v>
      </c>
    </row>
    <row r="170" spans="1:6">
      <c r="A170" s="5" t="s">
        <v>757</v>
      </c>
      <c r="B170" s="5" t="s">
        <v>758</v>
      </c>
      <c r="C170" s="5" t="s">
        <v>17</v>
      </c>
      <c r="D170" s="5">
        <v>5</v>
      </c>
      <c r="E170" s="5" t="s">
        <v>1578</v>
      </c>
      <c r="F170" s="5" t="s">
        <v>732</v>
      </c>
    </row>
    <row r="171" spans="1:6">
      <c r="A171" s="5" t="s">
        <v>757</v>
      </c>
      <c r="B171" s="5" t="s">
        <v>758</v>
      </c>
      <c r="C171" s="5" t="s">
        <v>17</v>
      </c>
      <c r="D171" s="5">
        <v>6</v>
      </c>
      <c r="E171" s="5" t="s">
        <v>1492</v>
      </c>
      <c r="F171" s="5" t="s">
        <v>732</v>
      </c>
    </row>
    <row r="172" spans="1:6">
      <c r="A172" s="5" t="s">
        <v>770</v>
      </c>
      <c r="B172" s="5" t="s">
        <v>771</v>
      </c>
      <c r="C172" s="5" t="s">
        <v>20</v>
      </c>
      <c r="D172" s="5">
        <v>1</v>
      </c>
      <c r="E172" s="5" t="s">
        <v>1579</v>
      </c>
      <c r="F172" s="5" t="s">
        <v>773</v>
      </c>
    </row>
    <row r="173" spans="1:6">
      <c r="A173" s="5" t="s">
        <v>770</v>
      </c>
      <c r="B173" s="5" t="s">
        <v>771</v>
      </c>
      <c r="C173" s="5" t="s">
        <v>20</v>
      </c>
      <c r="D173" s="5">
        <v>2</v>
      </c>
      <c r="E173" s="5" t="s">
        <v>232</v>
      </c>
      <c r="F173" s="5" t="s">
        <v>773</v>
      </c>
    </row>
    <row r="174" spans="1:6">
      <c r="A174" s="5" t="s">
        <v>770</v>
      </c>
      <c r="B174" s="5" t="s">
        <v>771</v>
      </c>
      <c r="C174" s="5" t="s">
        <v>20</v>
      </c>
      <c r="D174" s="5">
        <v>3</v>
      </c>
      <c r="E174" s="5" t="s">
        <v>1580</v>
      </c>
      <c r="F174" s="5" t="s">
        <v>773</v>
      </c>
    </row>
    <row r="175" spans="1:6">
      <c r="A175" s="5" t="s">
        <v>770</v>
      </c>
      <c r="B175" s="5" t="s">
        <v>771</v>
      </c>
      <c r="C175" s="5" t="s">
        <v>20</v>
      </c>
      <c r="D175" s="5">
        <v>4</v>
      </c>
      <c r="E175" s="5" t="s">
        <v>1581</v>
      </c>
      <c r="F175" s="5" t="s">
        <v>773</v>
      </c>
    </row>
    <row r="176" spans="1:6">
      <c r="A176" s="5" t="s">
        <v>784</v>
      </c>
      <c r="B176" s="5" t="s">
        <v>785</v>
      </c>
      <c r="C176" s="5" t="s">
        <v>20</v>
      </c>
      <c r="D176" s="5">
        <v>1</v>
      </c>
      <c r="E176" s="5" t="s">
        <v>1465</v>
      </c>
      <c r="F176" s="5" t="s">
        <v>787</v>
      </c>
    </row>
    <row r="177" spans="1:6">
      <c r="A177" s="5" t="s">
        <v>784</v>
      </c>
      <c r="B177" s="5" t="s">
        <v>785</v>
      </c>
      <c r="C177" s="5" t="s">
        <v>20</v>
      </c>
      <c r="D177" s="5">
        <v>2</v>
      </c>
      <c r="E177" s="5" t="s">
        <v>1582</v>
      </c>
      <c r="F177" s="5" t="s">
        <v>787</v>
      </c>
    </row>
    <row r="178" spans="1:6">
      <c r="A178" s="5" t="s">
        <v>798</v>
      </c>
      <c r="B178" s="5" t="s">
        <v>799</v>
      </c>
      <c r="C178" s="5" t="s">
        <v>20</v>
      </c>
      <c r="D178" s="5">
        <v>1</v>
      </c>
      <c r="E178" s="5" t="s">
        <v>1583</v>
      </c>
      <c r="F178" s="5" t="s">
        <v>801</v>
      </c>
    </row>
    <row r="179" spans="1:6">
      <c r="A179" s="5" t="s">
        <v>798</v>
      </c>
      <c r="B179" s="5" t="s">
        <v>799</v>
      </c>
      <c r="C179" s="5" t="s">
        <v>20</v>
      </c>
      <c r="D179" s="5">
        <v>2</v>
      </c>
      <c r="E179" s="5" t="s">
        <v>1475</v>
      </c>
      <c r="F179" s="5" t="s">
        <v>801</v>
      </c>
    </row>
    <row r="180" spans="1:6">
      <c r="A180" s="5" t="s">
        <v>798</v>
      </c>
      <c r="B180" s="5" t="s">
        <v>799</v>
      </c>
      <c r="C180" s="5" t="s">
        <v>20</v>
      </c>
      <c r="D180" s="5">
        <v>3</v>
      </c>
      <c r="E180" s="5" t="s">
        <v>1584</v>
      </c>
      <c r="F180" s="5" t="s">
        <v>801</v>
      </c>
    </row>
    <row r="181" spans="1:6">
      <c r="A181" s="5" t="s">
        <v>798</v>
      </c>
      <c r="B181" s="5" t="s">
        <v>799</v>
      </c>
      <c r="C181" s="5" t="s">
        <v>20</v>
      </c>
      <c r="D181" s="5">
        <v>4</v>
      </c>
      <c r="E181" s="5" t="s">
        <v>1585</v>
      </c>
      <c r="F181" s="5" t="s">
        <v>801</v>
      </c>
    </row>
    <row r="182" spans="1:6">
      <c r="A182" s="5" t="s">
        <v>798</v>
      </c>
      <c r="B182" s="5" t="s">
        <v>799</v>
      </c>
      <c r="C182" s="5" t="s">
        <v>20</v>
      </c>
      <c r="D182" s="5">
        <v>5</v>
      </c>
      <c r="E182" s="5" t="s">
        <v>1586</v>
      </c>
      <c r="F182" s="5" t="s">
        <v>801</v>
      </c>
    </row>
    <row r="183" spans="1:6">
      <c r="A183" s="5" t="s">
        <v>812</v>
      </c>
      <c r="B183" s="5" t="s">
        <v>813</v>
      </c>
      <c r="C183" s="5" t="s">
        <v>20</v>
      </c>
      <c r="D183" s="5">
        <v>1</v>
      </c>
      <c r="E183" s="5" t="s">
        <v>1518</v>
      </c>
      <c r="F183" s="5" t="s">
        <v>815</v>
      </c>
    </row>
    <row r="184" spans="1:6">
      <c r="A184" s="5" t="s">
        <v>812</v>
      </c>
      <c r="B184" s="5" t="s">
        <v>813</v>
      </c>
      <c r="C184" s="5" t="s">
        <v>20</v>
      </c>
      <c r="D184" s="5">
        <v>2</v>
      </c>
      <c r="E184" s="5" t="s">
        <v>1587</v>
      </c>
      <c r="F184" s="5" t="s">
        <v>815</v>
      </c>
    </row>
    <row r="185" spans="1:6">
      <c r="A185" s="5" t="s">
        <v>812</v>
      </c>
      <c r="B185" s="5" t="s">
        <v>813</v>
      </c>
      <c r="C185" s="5" t="s">
        <v>20</v>
      </c>
      <c r="D185" s="5">
        <v>3</v>
      </c>
      <c r="E185" s="5" t="s">
        <v>1588</v>
      </c>
      <c r="F185" s="5" t="s">
        <v>815</v>
      </c>
    </row>
    <row r="186" spans="1:6">
      <c r="A186" s="5" t="s">
        <v>812</v>
      </c>
      <c r="B186" s="5" t="s">
        <v>813</v>
      </c>
      <c r="C186" s="5" t="s">
        <v>20</v>
      </c>
      <c r="D186" s="5">
        <v>4</v>
      </c>
      <c r="E186" s="5" t="s">
        <v>1578</v>
      </c>
      <c r="F186" s="5" t="s">
        <v>815</v>
      </c>
    </row>
    <row r="187" spans="1:6">
      <c r="A187" s="5" t="s">
        <v>812</v>
      </c>
      <c r="B187" s="5" t="s">
        <v>813</v>
      </c>
      <c r="C187" s="5" t="s">
        <v>20</v>
      </c>
      <c r="D187" s="5">
        <v>5</v>
      </c>
      <c r="E187" s="5" t="s">
        <v>1589</v>
      </c>
      <c r="F187" s="5" t="s">
        <v>815</v>
      </c>
    </row>
    <row r="188" spans="1:6">
      <c r="A188" s="5" t="s">
        <v>812</v>
      </c>
      <c r="B188" s="5" t="s">
        <v>813</v>
      </c>
      <c r="C188" s="5" t="s">
        <v>20</v>
      </c>
      <c r="D188" s="5">
        <v>6</v>
      </c>
      <c r="E188" s="5" t="s">
        <v>1590</v>
      </c>
      <c r="F188" s="5" t="s">
        <v>815</v>
      </c>
    </row>
    <row r="189" spans="1:6">
      <c r="A189" s="5" t="s">
        <v>826</v>
      </c>
      <c r="B189" s="5" t="s">
        <v>827</v>
      </c>
      <c r="C189" s="5" t="s">
        <v>26</v>
      </c>
      <c r="D189" s="5">
        <v>1</v>
      </c>
      <c r="E189" s="5" t="s">
        <v>1591</v>
      </c>
      <c r="F189" s="5" t="s">
        <v>829</v>
      </c>
    </row>
    <row r="190" spans="1:6">
      <c r="A190" s="5" t="s">
        <v>826</v>
      </c>
      <c r="B190" s="5" t="s">
        <v>827</v>
      </c>
      <c r="C190" s="5" t="s">
        <v>26</v>
      </c>
      <c r="D190" s="5">
        <v>2</v>
      </c>
      <c r="E190" s="5" t="s">
        <v>1592</v>
      </c>
      <c r="F190" s="5" t="s">
        <v>829</v>
      </c>
    </row>
    <row r="191" spans="1:6">
      <c r="A191" s="5" t="s">
        <v>826</v>
      </c>
      <c r="B191" s="5" t="s">
        <v>827</v>
      </c>
      <c r="C191" s="5" t="s">
        <v>26</v>
      </c>
      <c r="D191" s="5">
        <v>3</v>
      </c>
      <c r="E191" s="5" t="s">
        <v>1593</v>
      </c>
      <c r="F191" s="5" t="s">
        <v>829</v>
      </c>
    </row>
    <row r="192" spans="1:6">
      <c r="A192" s="5" t="s">
        <v>826</v>
      </c>
      <c r="B192" s="5" t="s">
        <v>827</v>
      </c>
      <c r="C192" s="5" t="s">
        <v>26</v>
      </c>
      <c r="D192" s="5">
        <v>4</v>
      </c>
      <c r="E192" s="5" t="s">
        <v>1594</v>
      </c>
      <c r="F192" s="5" t="s">
        <v>829</v>
      </c>
    </row>
    <row r="193" spans="1:6">
      <c r="A193" s="5" t="s">
        <v>826</v>
      </c>
      <c r="B193" s="5" t="s">
        <v>827</v>
      </c>
      <c r="C193" s="5" t="s">
        <v>26</v>
      </c>
      <c r="D193" s="5">
        <v>5</v>
      </c>
      <c r="E193" s="5" t="s">
        <v>1595</v>
      </c>
      <c r="F193" s="5" t="s">
        <v>829</v>
      </c>
    </row>
    <row r="194" spans="1:6">
      <c r="A194" s="5" t="s">
        <v>841</v>
      </c>
      <c r="B194" s="5" t="s">
        <v>842</v>
      </c>
      <c r="C194" s="5" t="s">
        <v>26</v>
      </c>
      <c r="D194" s="5">
        <v>1</v>
      </c>
      <c r="E194" s="5" t="s">
        <v>1465</v>
      </c>
      <c r="F194" s="5" t="s">
        <v>844</v>
      </c>
    </row>
    <row r="195" spans="1:6">
      <c r="A195" s="5" t="s">
        <v>841</v>
      </c>
      <c r="B195" s="5" t="s">
        <v>842</v>
      </c>
      <c r="C195" s="5" t="s">
        <v>26</v>
      </c>
      <c r="D195" s="5">
        <v>2</v>
      </c>
      <c r="E195" s="5" t="s">
        <v>1595</v>
      </c>
      <c r="F195" s="5" t="s">
        <v>844</v>
      </c>
    </row>
    <row r="196" spans="1:6">
      <c r="A196" s="5" t="s">
        <v>855</v>
      </c>
      <c r="B196" s="5" t="s">
        <v>856</v>
      </c>
      <c r="C196" s="5" t="s">
        <v>26</v>
      </c>
      <c r="D196" s="5">
        <v>1</v>
      </c>
      <c r="E196" s="5" t="s">
        <v>1596</v>
      </c>
      <c r="F196" s="5" t="s">
        <v>858</v>
      </c>
    </row>
    <row r="197" spans="1:6">
      <c r="A197" s="5" t="s">
        <v>855</v>
      </c>
      <c r="B197" s="5" t="s">
        <v>856</v>
      </c>
      <c r="C197" s="5" t="s">
        <v>26</v>
      </c>
      <c r="D197" s="5">
        <v>2</v>
      </c>
      <c r="E197" s="5" t="s">
        <v>1595</v>
      </c>
      <c r="F197" s="5" t="s">
        <v>858</v>
      </c>
    </row>
    <row r="198" spans="1:6">
      <c r="A198" s="5" t="s">
        <v>855</v>
      </c>
      <c r="B198" s="5" t="s">
        <v>856</v>
      </c>
      <c r="C198" s="5" t="s">
        <v>26</v>
      </c>
      <c r="D198" s="5">
        <v>3</v>
      </c>
      <c r="E198" s="5" t="s">
        <v>1597</v>
      </c>
      <c r="F198" s="5" t="s">
        <v>858</v>
      </c>
    </row>
    <row r="199" spans="1:6">
      <c r="A199" s="5" t="s">
        <v>855</v>
      </c>
      <c r="B199" s="5" t="s">
        <v>856</v>
      </c>
      <c r="C199" s="5" t="s">
        <v>26</v>
      </c>
      <c r="D199" s="5">
        <v>4</v>
      </c>
      <c r="E199" s="5" t="s">
        <v>1598</v>
      </c>
      <c r="F199" s="5" t="s">
        <v>858</v>
      </c>
    </row>
    <row r="200" spans="1:6">
      <c r="A200" s="5" t="s">
        <v>855</v>
      </c>
      <c r="B200" s="5" t="s">
        <v>856</v>
      </c>
      <c r="C200" s="5" t="s">
        <v>26</v>
      </c>
      <c r="D200" s="5">
        <v>5</v>
      </c>
      <c r="E200" s="5" t="s">
        <v>1599</v>
      </c>
      <c r="F200" s="5" t="s">
        <v>858</v>
      </c>
    </row>
    <row r="201" spans="1:6">
      <c r="A201" s="5" t="s">
        <v>868</v>
      </c>
      <c r="B201" s="5" t="s">
        <v>869</v>
      </c>
      <c r="C201" s="5" t="s">
        <v>26</v>
      </c>
      <c r="D201" s="5">
        <v>1</v>
      </c>
      <c r="E201" s="5" t="s">
        <v>1570</v>
      </c>
      <c r="F201" s="5" t="s">
        <v>871</v>
      </c>
    </row>
    <row r="202" spans="1:6">
      <c r="A202" s="5" t="s">
        <v>868</v>
      </c>
      <c r="B202" s="5" t="s">
        <v>869</v>
      </c>
      <c r="C202" s="5" t="s">
        <v>26</v>
      </c>
      <c r="D202" s="5">
        <v>2</v>
      </c>
      <c r="E202" s="5" t="s">
        <v>1600</v>
      </c>
      <c r="F202" s="5" t="s">
        <v>871</v>
      </c>
    </row>
    <row r="203" spans="1:6">
      <c r="A203" s="5" t="s">
        <v>868</v>
      </c>
      <c r="B203" s="5" t="s">
        <v>869</v>
      </c>
      <c r="C203" s="5" t="s">
        <v>26</v>
      </c>
      <c r="D203" s="5">
        <v>3</v>
      </c>
      <c r="E203" s="5" t="s">
        <v>1601</v>
      </c>
      <c r="F203" s="5" t="s">
        <v>871</v>
      </c>
    </row>
    <row r="204" spans="1:6">
      <c r="A204" s="5" t="s">
        <v>868</v>
      </c>
      <c r="B204" s="5" t="s">
        <v>869</v>
      </c>
      <c r="C204" s="5" t="s">
        <v>26</v>
      </c>
      <c r="D204" s="5">
        <v>4</v>
      </c>
      <c r="E204" s="5" t="s">
        <v>1457</v>
      </c>
      <c r="F204" s="5" t="s">
        <v>871</v>
      </c>
    </row>
    <row r="205" spans="1:6">
      <c r="A205" s="5" t="s">
        <v>868</v>
      </c>
      <c r="B205" s="5" t="s">
        <v>869</v>
      </c>
      <c r="C205" s="5" t="s">
        <v>26</v>
      </c>
      <c r="D205" s="5">
        <v>5</v>
      </c>
      <c r="E205" s="5" t="s">
        <v>1602</v>
      </c>
      <c r="F205" s="5" t="s">
        <v>871</v>
      </c>
    </row>
    <row r="206" spans="1:6">
      <c r="A206" s="5" t="s">
        <v>868</v>
      </c>
      <c r="B206" s="5" t="s">
        <v>869</v>
      </c>
      <c r="C206" s="5" t="s">
        <v>26</v>
      </c>
      <c r="D206" s="5">
        <v>6</v>
      </c>
      <c r="E206" s="5" t="s">
        <v>1603</v>
      </c>
      <c r="F206" s="5" t="s">
        <v>871</v>
      </c>
    </row>
    <row r="207" spans="1:6">
      <c r="A207" s="5" t="s">
        <v>882</v>
      </c>
      <c r="B207" s="5" t="s">
        <v>883</v>
      </c>
      <c r="C207" s="5" t="s">
        <v>26</v>
      </c>
      <c r="D207" s="5">
        <v>1</v>
      </c>
      <c r="E207" s="5" t="s">
        <v>1541</v>
      </c>
      <c r="F207" s="5" t="s">
        <v>871</v>
      </c>
    </row>
    <row r="208" spans="1:6">
      <c r="A208" s="5" t="s">
        <v>882</v>
      </c>
      <c r="B208" s="5" t="s">
        <v>883</v>
      </c>
      <c r="C208" s="5" t="s">
        <v>26</v>
      </c>
      <c r="D208" s="5">
        <v>2</v>
      </c>
      <c r="E208" s="5" t="s">
        <v>1540</v>
      </c>
      <c r="F208" s="5" t="s">
        <v>871</v>
      </c>
    </row>
    <row r="209" spans="1:6">
      <c r="A209" s="5" t="s">
        <v>882</v>
      </c>
      <c r="B209" s="5" t="s">
        <v>883</v>
      </c>
      <c r="C209" s="5" t="s">
        <v>26</v>
      </c>
      <c r="D209" s="5">
        <v>3</v>
      </c>
      <c r="E209" s="5" t="s">
        <v>1604</v>
      </c>
      <c r="F209" s="5" t="s">
        <v>871</v>
      </c>
    </row>
    <row r="210" spans="1:6">
      <c r="A210" s="5" t="s">
        <v>882</v>
      </c>
      <c r="B210" s="5" t="s">
        <v>883</v>
      </c>
      <c r="C210" s="5" t="s">
        <v>26</v>
      </c>
      <c r="D210" s="5">
        <v>4</v>
      </c>
      <c r="E210" s="5" t="s">
        <v>1605</v>
      </c>
      <c r="F210" s="5" t="s">
        <v>871</v>
      </c>
    </row>
    <row r="211" spans="1:6">
      <c r="A211" s="5" t="s">
        <v>895</v>
      </c>
      <c r="B211" s="5" t="s">
        <v>896</v>
      </c>
      <c r="C211" s="5" t="s">
        <v>26</v>
      </c>
      <c r="D211" s="5">
        <v>1</v>
      </c>
      <c r="E211" s="5" t="s">
        <v>1606</v>
      </c>
      <c r="F211" s="5" t="s">
        <v>871</v>
      </c>
    </row>
    <row r="212" spans="1:6">
      <c r="A212" s="5" t="s">
        <v>895</v>
      </c>
      <c r="B212" s="5" t="s">
        <v>896</v>
      </c>
      <c r="C212" s="5" t="s">
        <v>26</v>
      </c>
      <c r="D212" s="5">
        <v>2</v>
      </c>
      <c r="E212" s="5" t="s">
        <v>1607</v>
      </c>
      <c r="F212" s="5" t="s">
        <v>871</v>
      </c>
    </row>
    <row r="213" spans="1:6">
      <c r="A213" s="5" t="s">
        <v>895</v>
      </c>
      <c r="B213" s="5" t="s">
        <v>896</v>
      </c>
      <c r="C213" s="5" t="s">
        <v>26</v>
      </c>
      <c r="D213" s="5">
        <v>3</v>
      </c>
      <c r="E213" s="5" t="s">
        <v>1518</v>
      </c>
      <c r="F213" s="5" t="s">
        <v>871</v>
      </c>
    </row>
    <row r="214" spans="1:6">
      <c r="A214" s="5" t="s">
        <v>895</v>
      </c>
      <c r="B214" s="5" t="s">
        <v>896</v>
      </c>
      <c r="C214" s="5" t="s">
        <v>26</v>
      </c>
      <c r="D214" s="5">
        <v>4</v>
      </c>
      <c r="E214" s="5" t="s">
        <v>1525</v>
      </c>
      <c r="F214" s="5" t="s">
        <v>871</v>
      </c>
    </row>
    <row r="215" spans="1:6">
      <c r="A215" s="5" t="s">
        <v>908</v>
      </c>
      <c r="B215" s="5" t="s">
        <v>909</v>
      </c>
      <c r="C215" s="5" t="s">
        <v>26</v>
      </c>
      <c r="D215" s="5">
        <v>1</v>
      </c>
      <c r="E215" s="5" t="s">
        <v>1518</v>
      </c>
      <c r="F215" s="5" t="s">
        <v>871</v>
      </c>
    </row>
    <row r="216" spans="1:6">
      <c r="A216" s="5" t="s">
        <v>908</v>
      </c>
      <c r="B216" s="5" t="s">
        <v>909</v>
      </c>
      <c r="C216" s="5" t="s">
        <v>26</v>
      </c>
      <c r="D216" s="5">
        <v>2</v>
      </c>
      <c r="E216" s="5" t="s">
        <v>1608</v>
      </c>
      <c r="F216" s="5" t="s">
        <v>871</v>
      </c>
    </row>
    <row r="217" spans="1:6">
      <c r="A217" s="5" t="s">
        <v>908</v>
      </c>
      <c r="B217" s="5" t="s">
        <v>909</v>
      </c>
      <c r="C217" s="5" t="s">
        <v>26</v>
      </c>
      <c r="D217" s="5">
        <v>3</v>
      </c>
      <c r="E217" s="5" t="s">
        <v>1609</v>
      </c>
      <c r="F217" s="5" t="s">
        <v>871</v>
      </c>
    </row>
    <row r="218" spans="1:6">
      <c r="A218" s="5" t="s">
        <v>908</v>
      </c>
      <c r="B218" s="5" t="s">
        <v>909</v>
      </c>
      <c r="C218" s="5" t="s">
        <v>26</v>
      </c>
      <c r="D218" s="5">
        <v>4</v>
      </c>
      <c r="E218" s="5" t="s">
        <v>1610</v>
      </c>
      <c r="F218" s="5" t="s">
        <v>871</v>
      </c>
    </row>
    <row r="219" spans="1:6">
      <c r="A219" s="5" t="s">
        <v>921</v>
      </c>
      <c r="B219" s="5" t="s">
        <v>922</v>
      </c>
      <c r="C219" s="5" t="s">
        <v>13</v>
      </c>
      <c r="D219" s="5">
        <v>1</v>
      </c>
      <c r="E219" s="5" t="s">
        <v>136</v>
      </c>
      <c r="F219" s="5" t="s">
        <v>924</v>
      </c>
    </row>
    <row r="220" spans="1:6">
      <c r="A220" s="5" t="s">
        <v>921</v>
      </c>
      <c r="B220" s="5" t="s">
        <v>922</v>
      </c>
      <c r="C220" s="5" t="s">
        <v>13</v>
      </c>
      <c r="D220" s="5">
        <v>2</v>
      </c>
      <c r="E220" s="5" t="s">
        <v>1611</v>
      </c>
      <c r="F220" s="5" t="s">
        <v>924</v>
      </c>
    </row>
    <row r="221" spans="1:6">
      <c r="A221" s="5" t="s">
        <v>921</v>
      </c>
      <c r="B221" s="5" t="s">
        <v>922</v>
      </c>
      <c r="C221" s="5" t="s">
        <v>13</v>
      </c>
      <c r="D221" s="5">
        <v>3</v>
      </c>
      <c r="E221" s="5" t="s">
        <v>1612</v>
      </c>
      <c r="F221" s="5" t="s">
        <v>924</v>
      </c>
    </row>
    <row r="222" spans="1:6">
      <c r="A222" s="5" t="s">
        <v>921</v>
      </c>
      <c r="B222" s="5" t="s">
        <v>922</v>
      </c>
      <c r="C222" s="5" t="s">
        <v>13</v>
      </c>
      <c r="D222" s="5">
        <v>4</v>
      </c>
      <c r="E222" s="5" t="s">
        <v>1613</v>
      </c>
      <c r="F222" s="5" t="s">
        <v>924</v>
      </c>
    </row>
    <row r="223" spans="1:6">
      <c r="A223" s="5" t="s">
        <v>921</v>
      </c>
      <c r="B223" s="5" t="s">
        <v>922</v>
      </c>
      <c r="C223" s="5" t="s">
        <v>13</v>
      </c>
      <c r="D223" s="5">
        <v>5</v>
      </c>
      <c r="E223" s="5" t="s">
        <v>1614</v>
      </c>
      <c r="F223" s="5" t="s">
        <v>924</v>
      </c>
    </row>
    <row r="224" spans="1:6">
      <c r="A224" s="5" t="s">
        <v>921</v>
      </c>
      <c r="B224" s="5" t="s">
        <v>922</v>
      </c>
      <c r="C224" s="5" t="s">
        <v>13</v>
      </c>
      <c r="D224" s="5">
        <v>6</v>
      </c>
      <c r="E224" s="5" t="s">
        <v>1615</v>
      </c>
      <c r="F224" s="5" t="s">
        <v>924</v>
      </c>
    </row>
    <row r="225" spans="1:6">
      <c r="A225" s="5" t="s">
        <v>921</v>
      </c>
      <c r="B225" s="5" t="s">
        <v>922</v>
      </c>
      <c r="C225" s="5" t="s">
        <v>13</v>
      </c>
      <c r="D225" s="5">
        <v>7</v>
      </c>
      <c r="E225" s="5" t="s">
        <v>1616</v>
      </c>
      <c r="F225" s="5" t="s">
        <v>924</v>
      </c>
    </row>
    <row r="226" spans="1:6">
      <c r="A226" s="5" t="s">
        <v>921</v>
      </c>
      <c r="B226" s="5" t="s">
        <v>922</v>
      </c>
      <c r="C226" s="5" t="s">
        <v>13</v>
      </c>
      <c r="D226" s="5">
        <v>8</v>
      </c>
      <c r="E226" s="5" t="s">
        <v>1617</v>
      </c>
      <c r="F226" s="5" t="s">
        <v>924</v>
      </c>
    </row>
    <row r="227" spans="1:6">
      <c r="A227" s="5" t="s">
        <v>921</v>
      </c>
      <c r="B227" s="5" t="s">
        <v>922</v>
      </c>
      <c r="C227" s="5" t="s">
        <v>13</v>
      </c>
      <c r="D227" s="5">
        <v>9</v>
      </c>
      <c r="E227" s="5" t="s">
        <v>1618</v>
      </c>
      <c r="F227" s="5" t="s">
        <v>924</v>
      </c>
    </row>
    <row r="228" spans="1:6">
      <c r="A228" s="5" t="s">
        <v>921</v>
      </c>
      <c r="B228" s="5" t="s">
        <v>922</v>
      </c>
      <c r="C228" s="5" t="s">
        <v>13</v>
      </c>
      <c r="D228" s="5">
        <v>10</v>
      </c>
      <c r="E228" s="5" t="s">
        <v>1595</v>
      </c>
      <c r="F228" s="5" t="s">
        <v>924</v>
      </c>
    </row>
    <row r="229" spans="1:6">
      <c r="A229" s="5" t="s">
        <v>936</v>
      </c>
      <c r="B229" s="5" t="s">
        <v>937</v>
      </c>
      <c r="C229" s="5" t="s">
        <v>13</v>
      </c>
      <c r="D229" s="5">
        <v>1</v>
      </c>
      <c r="E229" s="5" t="s">
        <v>1465</v>
      </c>
      <c r="F229" s="5" t="s">
        <v>939</v>
      </c>
    </row>
    <row r="230" spans="1:6">
      <c r="A230" s="5" t="s">
        <v>936</v>
      </c>
      <c r="B230" s="5" t="s">
        <v>937</v>
      </c>
      <c r="C230" s="5" t="s">
        <v>13</v>
      </c>
      <c r="D230" s="5">
        <v>2</v>
      </c>
      <c r="E230" s="5" t="s">
        <v>1619</v>
      </c>
      <c r="F230" s="5" t="s">
        <v>939</v>
      </c>
    </row>
    <row r="231" spans="1:6">
      <c r="A231" s="5" t="s">
        <v>950</v>
      </c>
      <c r="B231" s="5" t="s">
        <v>951</v>
      </c>
      <c r="C231" s="5" t="s">
        <v>13</v>
      </c>
      <c r="D231" s="5">
        <v>1</v>
      </c>
      <c r="E231" s="5" t="s">
        <v>1596</v>
      </c>
      <c r="F231" s="5" t="s">
        <v>953</v>
      </c>
    </row>
    <row r="232" spans="1:6">
      <c r="A232" s="5" t="s">
        <v>950</v>
      </c>
      <c r="B232" s="5" t="s">
        <v>951</v>
      </c>
      <c r="C232" s="5" t="s">
        <v>13</v>
      </c>
      <c r="D232" s="5">
        <v>2</v>
      </c>
      <c r="E232" s="5" t="s">
        <v>1620</v>
      </c>
      <c r="F232" s="5" t="s">
        <v>953</v>
      </c>
    </row>
    <row r="233" spans="1:6">
      <c r="A233" s="5" t="s">
        <v>950</v>
      </c>
      <c r="B233" s="5" t="s">
        <v>951</v>
      </c>
      <c r="C233" s="5" t="s">
        <v>13</v>
      </c>
      <c r="D233" s="5">
        <v>3</v>
      </c>
      <c r="E233" s="5" t="s">
        <v>1621</v>
      </c>
      <c r="F233" s="5" t="s">
        <v>953</v>
      </c>
    </row>
    <row r="234" spans="1:6">
      <c r="A234" s="5" t="s">
        <v>964</v>
      </c>
      <c r="B234" s="5" t="s">
        <v>965</v>
      </c>
      <c r="C234" s="5" t="s">
        <v>13</v>
      </c>
      <c r="D234" s="5">
        <v>1</v>
      </c>
      <c r="E234" s="5" t="s">
        <v>1622</v>
      </c>
      <c r="F234" s="5" t="s">
        <v>967</v>
      </c>
    </row>
    <row r="235" spans="1:6">
      <c r="A235" s="5" t="s">
        <v>964</v>
      </c>
      <c r="B235" s="5" t="s">
        <v>965</v>
      </c>
      <c r="C235" s="5" t="s">
        <v>13</v>
      </c>
      <c r="D235" s="5">
        <v>2</v>
      </c>
      <c r="E235" s="5" t="s">
        <v>1474</v>
      </c>
      <c r="F235" s="5" t="s">
        <v>967</v>
      </c>
    </row>
    <row r="236" spans="1:6">
      <c r="A236" s="5" t="s">
        <v>964</v>
      </c>
      <c r="B236" s="5" t="s">
        <v>965</v>
      </c>
      <c r="C236" s="5" t="s">
        <v>13</v>
      </c>
      <c r="D236" s="5">
        <v>3</v>
      </c>
      <c r="E236" s="5" t="s">
        <v>1623</v>
      </c>
      <c r="F236" s="5" t="s">
        <v>967</v>
      </c>
    </row>
    <row r="237" spans="1:6">
      <c r="A237" s="5" t="s">
        <v>964</v>
      </c>
      <c r="B237" s="5" t="s">
        <v>965</v>
      </c>
      <c r="C237" s="5" t="s">
        <v>13</v>
      </c>
      <c r="D237" s="5">
        <v>4</v>
      </c>
      <c r="E237" s="5" t="s">
        <v>1471</v>
      </c>
      <c r="F237" s="5" t="s">
        <v>967</v>
      </c>
    </row>
    <row r="238" spans="1:6">
      <c r="A238" s="5" t="s">
        <v>964</v>
      </c>
      <c r="B238" s="5" t="s">
        <v>965</v>
      </c>
      <c r="C238" s="5" t="s">
        <v>13</v>
      </c>
      <c r="D238" s="5">
        <v>5</v>
      </c>
      <c r="E238" s="5" t="s">
        <v>1624</v>
      </c>
      <c r="F238" s="5" t="s">
        <v>967</v>
      </c>
    </row>
    <row r="239" spans="1:6">
      <c r="A239" s="5" t="s">
        <v>978</v>
      </c>
      <c r="B239" s="5" t="s">
        <v>979</v>
      </c>
      <c r="C239" s="5" t="s">
        <v>13</v>
      </c>
      <c r="D239" s="5">
        <v>1</v>
      </c>
      <c r="E239" s="5" t="s">
        <v>1625</v>
      </c>
      <c r="F239" s="5" t="s">
        <v>967</v>
      </c>
    </row>
    <row r="240" spans="1:6">
      <c r="A240" s="5" t="s">
        <v>978</v>
      </c>
      <c r="B240" s="5" t="s">
        <v>979</v>
      </c>
      <c r="C240" s="5" t="s">
        <v>13</v>
      </c>
      <c r="D240" s="5">
        <v>2</v>
      </c>
      <c r="E240" s="5" t="s">
        <v>1626</v>
      </c>
      <c r="F240" s="5" t="s">
        <v>967</v>
      </c>
    </row>
    <row r="241" spans="1:6">
      <c r="A241" s="5" t="s">
        <v>978</v>
      </c>
      <c r="B241" s="5" t="s">
        <v>979</v>
      </c>
      <c r="C241" s="5" t="s">
        <v>13</v>
      </c>
      <c r="D241" s="5">
        <v>3</v>
      </c>
      <c r="E241" s="5" t="s">
        <v>1627</v>
      </c>
      <c r="F241" s="5" t="s">
        <v>967</v>
      </c>
    </row>
    <row r="242" spans="1:6">
      <c r="A242" s="5" t="s">
        <v>978</v>
      </c>
      <c r="B242" s="5" t="s">
        <v>979</v>
      </c>
      <c r="C242" s="5" t="s">
        <v>13</v>
      </c>
      <c r="D242" s="5">
        <v>4</v>
      </c>
      <c r="E242" s="5" t="s">
        <v>1628</v>
      </c>
      <c r="F242" s="5" t="s">
        <v>967</v>
      </c>
    </row>
    <row r="243" spans="1:6">
      <c r="A243" s="5" t="s">
        <v>978</v>
      </c>
      <c r="B243" s="5" t="s">
        <v>979</v>
      </c>
      <c r="C243" s="5" t="s">
        <v>13</v>
      </c>
      <c r="D243" s="5">
        <v>5</v>
      </c>
      <c r="E243" s="5" t="s">
        <v>1629</v>
      </c>
      <c r="F243" s="5" t="s">
        <v>967</v>
      </c>
    </row>
    <row r="244" spans="1:6">
      <c r="A244" s="5" t="s">
        <v>978</v>
      </c>
      <c r="B244" s="5" t="s">
        <v>979</v>
      </c>
      <c r="C244" s="5" t="s">
        <v>13</v>
      </c>
      <c r="D244" s="5">
        <v>6</v>
      </c>
      <c r="E244" s="5" t="s">
        <v>1630</v>
      </c>
      <c r="F244" s="5" t="s">
        <v>967</v>
      </c>
    </row>
    <row r="245" spans="1:6">
      <c r="A245" s="5" t="s">
        <v>978</v>
      </c>
      <c r="B245" s="5" t="s">
        <v>979</v>
      </c>
      <c r="C245" s="5" t="s">
        <v>13</v>
      </c>
      <c r="D245" s="5">
        <v>7</v>
      </c>
      <c r="E245" s="5" t="s">
        <v>1631</v>
      </c>
      <c r="F245" s="5" t="s">
        <v>967</v>
      </c>
    </row>
    <row r="246" spans="1:6">
      <c r="A246" s="5" t="s">
        <v>991</v>
      </c>
      <c r="B246" s="5" t="s">
        <v>992</v>
      </c>
      <c r="C246" s="5" t="s">
        <v>13</v>
      </c>
      <c r="D246" s="5">
        <v>1</v>
      </c>
      <c r="E246" s="5" t="s">
        <v>1632</v>
      </c>
      <c r="F246" s="5" t="s">
        <v>967</v>
      </c>
    </row>
    <row r="247" spans="1:6">
      <c r="A247" s="5" t="s">
        <v>991</v>
      </c>
      <c r="B247" s="5" t="s">
        <v>992</v>
      </c>
      <c r="C247" s="5" t="s">
        <v>13</v>
      </c>
      <c r="D247" s="5">
        <v>2</v>
      </c>
      <c r="E247" s="5" t="s">
        <v>1633</v>
      </c>
      <c r="F247" s="5" t="s">
        <v>967</v>
      </c>
    </row>
    <row r="248" spans="1:6">
      <c r="A248" s="5" t="s">
        <v>991</v>
      </c>
      <c r="B248" s="5" t="s">
        <v>992</v>
      </c>
      <c r="C248" s="5" t="s">
        <v>13</v>
      </c>
      <c r="D248" s="5">
        <v>3</v>
      </c>
      <c r="E248" s="5" t="s">
        <v>1615</v>
      </c>
      <c r="F248" s="5" t="s">
        <v>967</v>
      </c>
    </row>
    <row r="249" spans="1:6">
      <c r="A249" s="5" t="s">
        <v>991</v>
      </c>
      <c r="B249" s="5" t="s">
        <v>992</v>
      </c>
      <c r="C249" s="5" t="s">
        <v>13</v>
      </c>
      <c r="D249" s="5">
        <v>4</v>
      </c>
      <c r="E249" s="5" t="s">
        <v>1634</v>
      </c>
      <c r="F249" s="5" t="s">
        <v>967</v>
      </c>
    </row>
    <row r="250" spans="1:6">
      <c r="A250" s="5" t="s">
        <v>991</v>
      </c>
      <c r="B250" s="5" t="s">
        <v>992</v>
      </c>
      <c r="C250" s="5" t="s">
        <v>13</v>
      </c>
      <c r="D250" s="5">
        <v>5</v>
      </c>
      <c r="E250" s="5" t="s">
        <v>1635</v>
      </c>
      <c r="F250" s="5" t="s">
        <v>967</v>
      </c>
    </row>
    <row r="251" spans="1:6">
      <c r="A251" s="5" t="s">
        <v>1004</v>
      </c>
      <c r="B251" s="5" t="s">
        <v>1005</v>
      </c>
      <c r="C251" s="5" t="s">
        <v>13</v>
      </c>
      <c r="D251" s="5">
        <v>1</v>
      </c>
      <c r="E251" s="5" t="s">
        <v>1636</v>
      </c>
      <c r="F251" s="5" t="s">
        <v>967</v>
      </c>
    </row>
    <row r="252" spans="1:6">
      <c r="A252" s="5" t="s">
        <v>1004</v>
      </c>
      <c r="B252" s="5" t="s">
        <v>1005</v>
      </c>
      <c r="C252" s="5" t="s">
        <v>13</v>
      </c>
      <c r="D252" s="5">
        <v>2</v>
      </c>
      <c r="E252" s="5" t="s">
        <v>1516</v>
      </c>
      <c r="F252" s="5" t="s">
        <v>967</v>
      </c>
    </row>
    <row r="253" spans="1:6">
      <c r="A253" s="5" t="s">
        <v>1004</v>
      </c>
      <c r="B253" s="5" t="s">
        <v>1005</v>
      </c>
      <c r="C253" s="5" t="s">
        <v>13</v>
      </c>
      <c r="D253" s="5">
        <v>3</v>
      </c>
      <c r="E253" s="5" t="s">
        <v>1615</v>
      </c>
      <c r="F253" s="5" t="s">
        <v>967</v>
      </c>
    </row>
    <row r="254" spans="1:6">
      <c r="A254" s="5" t="s">
        <v>1004</v>
      </c>
      <c r="B254" s="5" t="s">
        <v>1005</v>
      </c>
      <c r="C254" s="5" t="s">
        <v>13</v>
      </c>
      <c r="D254" s="5">
        <v>4</v>
      </c>
      <c r="E254" s="5" t="s">
        <v>1637</v>
      </c>
      <c r="F254" s="5" t="s">
        <v>967</v>
      </c>
    </row>
    <row r="255" spans="1:6">
      <c r="A255" s="5" t="s">
        <v>1004</v>
      </c>
      <c r="B255" s="5" t="s">
        <v>1005</v>
      </c>
      <c r="C255" s="5" t="s">
        <v>13</v>
      </c>
      <c r="D255" s="5">
        <v>5</v>
      </c>
      <c r="E255" s="5" t="s">
        <v>1638</v>
      </c>
      <c r="F255" s="5" t="s">
        <v>967</v>
      </c>
    </row>
    <row r="256" spans="1:6">
      <c r="A256" s="5" t="s">
        <v>1004</v>
      </c>
      <c r="B256" s="5" t="s">
        <v>1005</v>
      </c>
      <c r="C256" s="5" t="s">
        <v>13</v>
      </c>
      <c r="D256" s="5">
        <v>6</v>
      </c>
      <c r="E256" s="5" t="s">
        <v>1639</v>
      </c>
      <c r="F256" s="5" t="s">
        <v>967</v>
      </c>
    </row>
    <row r="257" spans="1:6">
      <c r="A257" s="5" t="s">
        <v>1004</v>
      </c>
      <c r="B257" s="5" t="s">
        <v>1005</v>
      </c>
      <c r="C257" s="5" t="s">
        <v>13</v>
      </c>
      <c r="D257" s="5">
        <v>7</v>
      </c>
      <c r="E257" s="5" t="s">
        <v>1640</v>
      </c>
      <c r="F257" s="5" t="s">
        <v>967</v>
      </c>
    </row>
    <row r="258" spans="1:6">
      <c r="A258" s="5" t="s">
        <v>1004</v>
      </c>
      <c r="B258" s="5" t="s">
        <v>1005</v>
      </c>
      <c r="C258" s="5" t="s">
        <v>13</v>
      </c>
      <c r="D258" s="5">
        <v>8</v>
      </c>
      <c r="E258" s="5" t="s">
        <v>1641</v>
      </c>
      <c r="F258" s="5" t="s">
        <v>967</v>
      </c>
    </row>
    <row r="259" spans="1:6">
      <c r="A259" s="5" t="s">
        <v>1016</v>
      </c>
      <c r="B259" s="5" t="s">
        <v>1017</v>
      </c>
      <c r="C259" s="5" t="s">
        <v>13</v>
      </c>
      <c r="D259" s="5">
        <v>1</v>
      </c>
      <c r="E259" s="5" t="s">
        <v>1570</v>
      </c>
      <c r="F259" s="5" t="s">
        <v>967</v>
      </c>
    </row>
    <row r="260" spans="1:6">
      <c r="A260" s="5" t="s">
        <v>1016</v>
      </c>
      <c r="B260" s="5" t="s">
        <v>1017</v>
      </c>
      <c r="C260" s="5" t="s">
        <v>13</v>
      </c>
      <c r="D260" s="5">
        <v>2</v>
      </c>
      <c r="E260" s="5" t="s">
        <v>1600</v>
      </c>
      <c r="F260" s="5" t="s">
        <v>967</v>
      </c>
    </row>
    <row r="261" spans="1:6">
      <c r="A261" s="5" t="s">
        <v>1016</v>
      </c>
      <c r="B261" s="5" t="s">
        <v>1017</v>
      </c>
      <c r="C261" s="5" t="s">
        <v>13</v>
      </c>
      <c r="D261" s="5">
        <v>3</v>
      </c>
      <c r="E261" s="5" t="s">
        <v>1588</v>
      </c>
      <c r="F261" s="5" t="s">
        <v>967</v>
      </c>
    </row>
    <row r="262" spans="1:6">
      <c r="A262" s="5" t="s">
        <v>1016</v>
      </c>
      <c r="B262" s="5" t="s">
        <v>1017</v>
      </c>
      <c r="C262" s="5" t="s">
        <v>13</v>
      </c>
      <c r="D262" s="5">
        <v>4</v>
      </c>
      <c r="E262" s="5" t="s">
        <v>1642</v>
      </c>
      <c r="F262" s="5" t="s">
        <v>967</v>
      </c>
    </row>
    <row r="263" spans="1:6">
      <c r="A263" s="5" t="s">
        <v>1016</v>
      </c>
      <c r="B263" s="5" t="s">
        <v>1017</v>
      </c>
      <c r="C263" s="5" t="s">
        <v>13</v>
      </c>
      <c r="D263" s="5">
        <v>5</v>
      </c>
      <c r="E263" s="5" t="s">
        <v>1609</v>
      </c>
      <c r="F263" s="5" t="s">
        <v>967</v>
      </c>
    </row>
    <row r="264" spans="1:6">
      <c r="A264" s="5" t="s">
        <v>1016</v>
      </c>
      <c r="B264" s="5" t="s">
        <v>1017</v>
      </c>
      <c r="C264" s="5" t="s">
        <v>13</v>
      </c>
      <c r="D264" s="5">
        <v>6</v>
      </c>
      <c r="E264" s="5" t="s">
        <v>1643</v>
      </c>
      <c r="F264" s="5" t="s">
        <v>967</v>
      </c>
    </row>
    <row r="265" spans="1:6">
      <c r="A265" s="5" t="s">
        <v>1029</v>
      </c>
      <c r="B265" s="5" t="s">
        <v>1030</v>
      </c>
      <c r="C265" s="5" t="s">
        <v>23</v>
      </c>
      <c r="D265" s="5">
        <v>1</v>
      </c>
      <c r="E265" s="5" t="s">
        <v>1644</v>
      </c>
      <c r="F265" s="5" t="s">
        <v>1032</v>
      </c>
    </row>
    <row r="266" spans="1:6">
      <c r="A266" s="5" t="s">
        <v>1029</v>
      </c>
      <c r="B266" s="5" t="s">
        <v>1030</v>
      </c>
      <c r="C266" s="5" t="s">
        <v>23</v>
      </c>
      <c r="D266" s="5">
        <v>2</v>
      </c>
      <c r="E266" s="5" t="s">
        <v>1645</v>
      </c>
      <c r="F266" s="5" t="s">
        <v>1032</v>
      </c>
    </row>
    <row r="267" spans="1:6">
      <c r="A267" s="5" t="s">
        <v>1029</v>
      </c>
      <c r="B267" s="5" t="s">
        <v>1030</v>
      </c>
      <c r="C267" s="5" t="s">
        <v>23</v>
      </c>
      <c r="D267" s="5">
        <v>3</v>
      </c>
      <c r="E267" s="5" t="s">
        <v>1580</v>
      </c>
      <c r="F267" s="5" t="s">
        <v>1032</v>
      </c>
    </row>
    <row r="268" spans="1:6">
      <c r="A268" s="5" t="s">
        <v>1029</v>
      </c>
      <c r="B268" s="5" t="s">
        <v>1030</v>
      </c>
      <c r="C268" s="5" t="s">
        <v>23</v>
      </c>
      <c r="D268" s="5">
        <v>4</v>
      </c>
      <c r="E268" s="5" t="s">
        <v>1646</v>
      </c>
      <c r="F268" s="5" t="s">
        <v>1032</v>
      </c>
    </row>
    <row r="269" spans="1:6">
      <c r="A269" s="5" t="s">
        <v>1029</v>
      </c>
      <c r="B269" s="5" t="s">
        <v>1030</v>
      </c>
      <c r="C269" s="5" t="s">
        <v>23</v>
      </c>
      <c r="D269" s="5">
        <v>5</v>
      </c>
      <c r="E269" s="5" t="s">
        <v>232</v>
      </c>
      <c r="F269" s="5" t="s">
        <v>1032</v>
      </c>
    </row>
    <row r="270" spans="1:6">
      <c r="A270" s="5" t="s">
        <v>1029</v>
      </c>
      <c r="B270" s="5" t="s">
        <v>1030</v>
      </c>
      <c r="C270" s="5" t="s">
        <v>23</v>
      </c>
      <c r="D270" s="5">
        <v>6</v>
      </c>
      <c r="E270" s="5" t="s">
        <v>1647</v>
      </c>
      <c r="F270" s="5" t="s">
        <v>1032</v>
      </c>
    </row>
    <row r="271" spans="1:6">
      <c r="A271" s="5" t="s">
        <v>1044</v>
      </c>
      <c r="B271" s="5" t="s">
        <v>1045</v>
      </c>
      <c r="C271" s="5" t="s">
        <v>23</v>
      </c>
      <c r="D271" s="5">
        <v>1</v>
      </c>
      <c r="E271" s="5" t="s">
        <v>1565</v>
      </c>
      <c r="F271" s="5" t="s">
        <v>1047</v>
      </c>
    </row>
    <row r="272" spans="1:6">
      <c r="A272" s="5" t="s">
        <v>1044</v>
      </c>
      <c r="B272" s="5" t="s">
        <v>1045</v>
      </c>
      <c r="C272" s="5" t="s">
        <v>23</v>
      </c>
      <c r="D272" s="5">
        <v>2</v>
      </c>
      <c r="E272" s="5" t="s">
        <v>1485</v>
      </c>
      <c r="F272" s="5" t="s">
        <v>1047</v>
      </c>
    </row>
    <row r="273" spans="1:6">
      <c r="A273" s="5" t="s">
        <v>1044</v>
      </c>
      <c r="B273" s="5" t="s">
        <v>1045</v>
      </c>
      <c r="C273" s="5" t="s">
        <v>23</v>
      </c>
      <c r="D273" s="5">
        <v>3</v>
      </c>
      <c r="E273" s="5" t="s">
        <v>1476</v>
      </c>
      <c r="F273" s="5" t="s">
        <v>1047</v>
      </c>
    </row>
    <row r="274" spans="1:6">
      <c r="A274" s="5" t="s">
        <v>1044</v>
      </c>
      <c r="B274" s="5" t="s">
        <v>1045</v>
      </c>
      <c r="C274" s="5" t="s">
        <v>23</v>
      </c>
      <c r="D274" s="5">
        <v>4</v>
      </c>
      <c r="E274" s="5" t="s">
        <v>1498</v>
      </c>
      <c r="F274" s="5" t="s">
        <v>1047</v>
      </c>
    </row>
    <row r="275" spans="1:6">
      <c r="A275" s="5" t="s">
        <v>1058</v>
      </c>
      <c r="B275" s="5" t="s">
        <v>1059</v>
      </c>
      <c r="C275" s="5" t="s">
        <v>23</v>
      </c>
      <c r="D275" s="5">
        <v>1</v>
      </c>
      <c r="E275" s="5" t="s">
        <v>1648</v>
      </c>
      <c r="F275" s="5" t="s">
        <v>1061</v>
      </c>
    </row>
    <row r="276" spans="1:6">
      <c r="A276" s="5" t="s">
        <v>1058</v>
      </c>
      <c r="B276" s="5" t="s">
        <v>1059</v>
      </c>
      <c r="C276" s="5" t="s">
        <v>23</v>
      </c>
      <c r="D276" s="5">
        <v>2</v>
      </c>
      <c r="E276" s="5" t="s">
        <v>1474</v>
      </c>
      <c r="F276" s="5" t="s">
        <v>1061</v>
      </c>
    </row>
    <row r="277" spans="1:6">
      <c r="A277" s="5" t="s">
        <v>1058</v>
      </c>
      <c r="B277" s="5" t="s">
        <v>1059</v>
      </c>
      <c r="C277" s="5" t="s">
        <v>23</v>
      </c>
      <c r="D277" s="5">
        <v>3</v>
      </c>
      <c r="E277" s="5" t="s">
        <v>1457</v>
      </c>
      <c r="F277" s="5" t="s">
        <v>1061</v>
      </c>
    </row>
    <row r="278" spans="1:6">
      <c r="A278" s="5" t="s">
        <v>1058</v>
      </c>
      <c r="B278" s="5" t="s">
        <v>1059</v>
      </c>
      <c r="C278" s="5" t="s">
        <v>23</v>
      </c>
      <c r="D278" s="5">
        <v>4</v>
      </c>
      <c r="E278" s="5" t="s">
        <v>1649</v>
      </c>
      <c r="F278" s="5" t="s">
        <v>1061</v>
      </c>
    </row>
    <row r="279" spans="1:6">
      <c r="A279" s="5" t="s">
        <v>1058</v>
      </c>
      <c r="B279" s="5" t="s">
        <v>1059</v>
      </c>
      <c r="C279" s="5" t="s">
        <v>23</v>
      </c>
      <c r="D279" s="5">
        <v>5</v>
      </c>
      <c r="E279" s="5" t="s">
        <v>1523</v>
      </c>
      <c r="F279" s="5" t="s">
        <v>1061</v>
      </c>
    </row>
    <row r="280" spans="1:6">
      <c r="A280" s="5" t="s">
        <v>1072</v>
      </c>
      <c r="B280" s="5" t="s">
        <v>1073</v>
      </c>
      <c r="C280" s="5" t="s">
        <v>23</v>
      </c>
      <c r="D280" s="5">
        <v>1</v>
      </c>
      <c r="E280" s="5" t="s">
        <v>1650</v>
      </c>
      <c r="F280" s="5" t="s">
        <v>1075</v>
      </c>
    </row>
    <row r="281" spans="1:6">
      <c r="A281" s="5" t="s">
        <v>1072</v>
      </c>
      <c r="B281" s="5" t="s">
        <v>1073</v>
      </c>
      <c r="C281" s="5" t="s">
        <v>23</v>
      </c>
      <c r="D281" s="5">
        <v>2</v>
      </c>
      <c r="E281" s="5" t="s">
        <v>1474</v>
      </c>
      <c r="F281" s="5" t="s">
        <v>1075</v>
      </c>
    </row>
    <row r="282" spans="1:6">
      <c r="A282" s="5" t="s">
        <v>1072</v>
      </c>
      <c r="B282" s="5" t="s">
        <v>1073</v>
      </c>
      <c r="C282" s="5" t="s">
        <v>23</v>
      </c>
      <c r="D282" s="5">
        <v>3</v>
      </c>
      <c r="E282" s="5" t="s">
        <v>1475</v>
      </c>
      <c r="F282" s="5" t="s">
        <v>1075</v>
      </c>
    </row>
    <row r="283" spans="1:6">
      <c r="A283" s="5" t="s">
        <v>1072</v>
      </c>
      <c r="B283" s="5" t="s">
        <v>1073</v>
      </c>
      <c r="C283" s="5" t="s">
        <v>23</v>
      </c>
      <c r="D283" s="5">
        <v>4</v>
      </c>
      <c r="E283" s="5" t="s">
        <v>1476</v>
      </c>
      <c r="F283" s="5" t="s">
        <v>1075</v>
      </c>
    </row>
    <row r="284" spans="1:6">
      <c r="A284" s="5" t="s">
        <v>1072</v>
      </c>
      <c r="B284" s="5" t="s">
        <v>1073</v>
      </c>
      <c r="C284" s="5" t="s">
        <v>23</v>
      </c>
      <c r="D284" s="5">
        <v>5</v>
      </c>
      <c r="E284" s="5" t="s">
        <v>1471</v>
      </c>
      <c r="F284" s="5" t="s">
        <v>1075</v>
      </c>
    </row>
    <row r="285" spans="1:6">
      <c r="A285" s="5" t="s">
        <v>1072</v>
      </c>
      <c r="B285" s="5" t="s">
        <v>1073</v>
      </c>
      <c r="C285" s="5" t="s">
        <v>23</v>
      </c>
      <c r="D285" s="5">
        <v>6</v>
      </c>
      <c r="E285" s="5" t="s">
        <v>1651</v>
      </c>
      <c r="F285" s="5" t="s">
        <v>1075</v>
      </c>
    </row>
    <row r="286" spans="1:6">
      <c r="A286" s="5" t="s">
        <v>1086</v>
      </c>
      <c r="B286" s="5" t="s">
        <v>1087</v>
      </c>
      <c r="C286" s="5" t="s">
        <v>23</v>
      </c>
      <c r="D286" s="5">
        <v>1</v>
      </c>
      <c r="E286" s="5" t="s">
        <v>1652</v>
      </c>
      <c r="F286" s="5" t="s">
        <v>1075</v>
      </c>
    </row>
    <row r="287" spans="1:6">
      <c r="A287" s="5" t="s">
        <v>1086</v>
      </c>
      <c r="B287" s="5" t="s">
        <v>1087</v>
      </c>
      <c r="C287" s="5" t="s">
        <v>23</v>
      </c>
      <c r="D287" s="5">
        <v>2</v>
      </c>
      <c r="E287" s="5" t="s">
        <v>1454</v>
      </c>
      <c r="F287" s="5" t="s">
        <v>1075</v>
      </c>
    </row>
    <row r="288" spans="1:6">
      <c r="A288" s="5" t="s">
        <v>1086</v>
      </c>
      <c r="B288" s="5" t="s">
        <v>1087</v>
      </c>
      <c r="C288" s="5" t="s">
        <v>23</v>
      </c>
      <c r="D288" s="5">
        <v>3</v>
      </c>
      <c r="E288" s="5" t="s">
        <v>1653</v>
      </c>
      <c r="F288" s="5" t="s">
        <v>1075</v>
      </c>
    </row>
    <row r="289" spans="1:6">
      <c r="A289" s="5" t="s">
        <v>1086</v>
      </c>
      <c r="B289" s="5" t="s">
        <v>1087</v>
      </c>
      <c r="C289" s="5" t="s">
        <v>23</v>
      </c>
      <c r="D289" s="5">
        <v>4</v>
      </c>
      <c r="E289" s="5" t="s">
        <v>1474</v>
      </c>
      <c r="F289" s="5" t="s">
        <v>1075</v>
      </c>
    </row>
    <row r="290" spans="1:6">
      <c r="A290" s="5" t="s">
        <v>1086</v>
      </c>
      <c r="B290" s="5" t="s">
        <v>1087</v>
      </c>
      <c r="C290" s="5" t="s">
        <v>23</v>
      </c>
      <c r="D290" s="5">
        <v>5</v>
      </c>
      <c r="E290" s="5" t="s">
        <v>1475</v>
      </c>
      <c r="F290" s="5" t="s">
        <v>1075</v>
      </c>
    </row>
    <row r="291" spans="1:6">
      <c r="A291" s="5" t="s">
        <v>1086</v>
      </c>
      <c r="B291" s="5" t="s">
        <v>1087</v>
      </c>
      <c r="C291" s="5" t="s">
        <v>23</v>
      </c>
      <c r="D291" s="5">
        <v>6</v>
      </c>
      <c r="E291" s="5" t="s">
        <v>1654</v>
      </c>
      <c r="F291" s="5" t="s">
        <v>1075</v>
      </c>
    </row>
    <row r="292" spans="1:6">
      <c r="A292" s="5" t="s">
        <v>1099</v>
      </c>
      <c r="B292" s="5" t="s">
        <v>1100</v>
      </c>
      <c r="C292" s="5" t="s">
        <v>23</v>
      </c>
      <c r="D292" s="5">
        <v>1</v>
      </c>
      <c r="E292" s="5" t="s">
        <v>1518</v>
      </c>
      <c r="F292" s="5" t="s">
        <v>1075</v>
      </c>
    </row>
    <row r="293" spans="1:6">
      <c r="A293" s="5" t="s">
        <v>1099</v>
      </c>
      <c r="B293" s="5" t="s">
        <v>1100</v>
      </c>
      <c r="C293" s="5" t="s">
        <v>23</v>
      </c>
      <c r="D293" s="5">
        <v>2</v>
      </c>
      <c r="E293" s="5" t="s">
        <v>1561</v>
      </c>
      <c r="F293" s="5" t="s">
        <v>1075</v>
      </c>
    </row>
    <row r="294" spans="1:6">
      <c r="A294" s="5" t="s">
        <v>1099</v>
      </c>
      <c r="B294" s="5" t="s">
        <v>1100</v>
      </c>
      <c r="C294" s="5" t="s">
        <v>23</v>
      </c>
      <c r="D294" s="5">
        <v>3</v>
      </c>
      <c r="E294" s="5" t="s">
        <v>1655</v>
      </c>
      <c r="F294" s="5" t="s">
        <v>1075</v>
      </c>
    </row>
    <row r="295" spans="1:6">
      <c r="A295" s="5" t="s">
        <v>1099</v>
      </c>
      <c r="B295" s="5" t="s">
        <v>1100</v>
      </c>
      <c r="C295" s="5" t="s">
        <v>23</v>
      </c>
      <c r="D295" s="5">
        <v>4</v>
      </c>
      <c r="E295" s="5" t="s">
        <v>1588</v>
      </c>
      <c r="F295" s="5" t="s">
        <v>1075</v>
      </c>
    </row>
    <row r="296" spans="1:6">
      <c r="A296" s="5" t="s">
        <v>1099</v>
      </c>
      <c r="B296" s="5" t="s">
        <v>1100</v>
      </c>
      <c r="C296" s="5" t="s">
        <v>23</v>
      </c>
      <c r="D296" s="5">
        <v>5</v>
      </c>
      <c r="E296" s="5" t="s">
        <v>1656</v>
      </c>
      <c r="F296" s="5" t="s">
        <v>1075</v>
      </c>
    </row>
    <row r="297" spans="1:6">
      <c r="A297" s="5" t="s">
        <v>1099</v>
      </c>
      <c r="B297" s="5" t="s">
        <v>1100</v>
      </c>
      <c r="C297" s="5" t="s">
        <v>23</v>
      </c>
      <c r="D297" s="5">
        <v>6</v>
      </c>
      <c r="E297" s="5" t="s">
        <v>1589</v>
      </c>
      <c r="F297" s="5" t="s">
        <v>1075</v>
      </c>
    </row>
    <row r="298" spans="1:6">
      <c r="A298" s="5" t="s">
        <v>1112</v>
      </c>
      <c r="B298" s="5" t="s">
        <v>1113</v>
      </c>
      <c r="C298" s="5" t="s">
        <v>15</v>
      </c>
      <c r="D298" s="5">
        <v>1</v>
      </c>
      <c r="E298" s="5" t="s">
        <v>1657</v>
      </c>
      <c r="F298" s="5" t="s">
        <v>1115</v>
      </c>
    </row>
    <row r="299" spans="1:6">
      <c r="A299" s="5" t="s">
        <v>1112</v>
      </c>
      <c r="B299" s="5" t="s">
        <v>1113</v>
      </c>
      <c r="C299" s="5" t="s">
        <v>15</v>
      </c>
      <c r="D299" s="5">
        <v>2</v>
      </c>
      <c r="E299" s="5" t="s">
        <v>1517</v>
      </c>
      <c r="F299" s="5" t="s">
        <v>1115</v>
      </c>
    </row>
    <row r="300" spans="1:6">
      <c r="A300" s="5" t="s">
        <v>1112</v>
      </c>
      <c r="B300" s="5" t="s">
        <v>1113</v>
      </c>
      <c r="C300" s="5" t="s">
        <v>15</v>
      </c>
      <c r="D300" s="5">
        <v>3</v>
      </c>
      <c r="E300" s="5" t="s">
        <v>1567</v>
      </c>
      <c r="F300" s="5" t="s">
        <v>1115</v>
      </c>
    </row>
    <row r="301" spans="1:6">
      <c r="A301" s="5" t="s">
        <v>1112</v>
      </c>
      <c r="B301" s="5" t="s">
        <v>1113</v>
      </c>
      <c r="C301" s="5" t="s">
        <v>15</v>
      </c>
      <c r="D301" s="5">
        <v>4</v>
      </c>
      <c r="E301" s="5" t="s">
        <v>1658</v>
      </c>
      <c r="F301" s="5" t="s">
        <v>1115</v>
      </c>
    </row>
    <row r="302" spans="1:6">
      <c r="A302" s="5" t="s">
        <v>1112</v>
      </c>
      <c r="B302" s="5" t="s">
        <v>1113</v>
      </c>
      <c r="C302" s="5" t="s">
        <v>15</v>
      </c>
      <c r="D302" s="5">
        <v>5</v>
      </c>
      <c r="E302" s="5" t="s">
        <v>1659</v>
      </c>
      <c r="F302" s="5" t="s">
        <v>1115</v>
      </c>
    </row>
    <row r="303" spans="1:6">
      <c r="A303" s="5" t="s">
        <v>1112</v>
      </c>
      <c r="B303" s="5" t="s">
        <v>1113</v>
      </c>
      <c r="C303" s="5" t="s">
        <v>15</v>
      </c>
      <c r="D303" s="5">
        <v>6</v>
      </c>
      <c r="E303" s="5" t="s">
        <v>1660</v>
      </c>
      <c r="F303" s="5" t="s">
        <v>1115</v>
      </c>
    </row>
    <row r="304" spans="1:6">
      <c r="A304" s="5" t="s">
        <v>1127</v>
      </c>
      <c r="B304" s="5" t="s">
        <v>1128</v>
      </c>
      <c r="C304" s="5" t="s">
        <v>15</v>
      </c>
      <c r="D304" s="5">
        <v>1</v>
      </c>
      <c r="E304" s="5" t="s">
        <v>1465</v>
      </c>
      <c r="F304" s="5" t="s">
        <v>1130</v>
      </c>
    </row>
    <row r="305" spans="1:6">
      <c r="A305" s="5" t="s">
        <v>1141</v>
      </c>
      <c r="B305" s="5" t="s">
        <v>1142</v>
      </c>
      <c r="C305" s="5" t="s">
        <v>15</v>
      </c>
      <c r="D305" s="5">
        <v>1</v>
      </c>
      <c r="E305" s="5" t="s">
        <v>1661</v>
      </c>
      <c r="F305" s="5" t="s">
        <v>1144</v>
      </c>
    </row>
    <row r="306" spans="1:6">
      <c r="A306" s="5" t="s">
        <v>1155</v>
      </c>
      <c r="B306" s="5" t="s">
        <v>1156</v>
      </c>
      <c r="C306" s="5" t="s">
        <v>15</v>
      </c>
      <c r="D306" s="5">
        <v>1</v>
      </c>
      <c r="E306" s="5" t="s">
        <v>1662</v>
      </c>
      <c r="F306" s="5" t="s">
        <v>1158</v>
      </c>
    </row>
    <row r="307" spans="1:6">
      <c r="A307" s="5" t="s">
        <v>1155</v>
      </c>
      <c r="B307" s="5" t="s">
        <v>1156</v>
      </c>
      <c r="C307" s="5" t="s">
        <v>15</v>
      </c>
      <c r="D307" s="5">
        <v>2</v>
      </c>
      <c r="E307" s="5" t="s">
        <v>1663</v>
      </c>
      <c r="F307" s="5" t="s">
        <v>1158</v>
      </c>
    </row>
    <row r="308" spans="1:6">
      <c r="A308" s="5" t="s">
        <v>1155</v>
      </c>
      <c r="B308" s="5" t="s">
        <v>1156</v>
      </c>
      <c r="C308" s="5" t="s">
        <v>15</v>
      </c>
      <c r="D308" s="5">
        <v>3</v>
      </c>
      <c r="E308" s="5" t="s">
        <v>1664</v>
      </c>
      <c r="F308" s="5" t="s">
        <v>1158</v>
      </c>
    </row>
    <row r="309" spans="1:6">
      <c r="A309" s="5" t="s">
        <v>1155</v>
      </c>
      <c r="B309" s="5" t="s">
        <v>1156</v>
      </c>
      <c r="C309" s="5" t="s">
        <v>15</v>
      </c>
      <c r="D309" s="5">
        <v>4</v>
      </c>
      <c r="E309" s="5" t="s">
        <v>1588</v>
      </c>
      <c r="F309" s="5" t="s">
        <v>1158</v>
      </c>
    </row>
    <row r="310" spans="1:6">
      <c r="A310" s="5" t="s">
        <v>1155</v>
      </c>
      <c r="B310" s="5" t="s">
        <v>1156</v>
      </c>
      <c r="C310" s="5" t="s">
        <v>15</v>
      </c>
      <c r="D310" s="5">
        <v>5</v>
      </c>
      <c r="E310" s="5" t="s">
        <v>1665</v>
      </c>
      <c r="F310" s="5" t="s">
        <v>1158</v>
      </c>
    </row>
    <row r="311" spans="1:6">
      <c r="A311" s="5" t="s">
        <v>1155</v>
      </c>
      <c r="B311" s="5" t="s">
        <v>1156</v>
      </c>
      <c r="C311" s="5" t="s">
        <v>15</v>
      </c>
      <c r="D311" s="5">
        <v>6</v>
      </c>
      <c r="E311" s="5" t="s">
        <v>1666</v>
      </c>
      <c r="F311" s="5" t="s">
        <v>1158</v>
      </c>
    </row>
    <row r="312" spans="1:6">
      <c r="A312" s="5" t="s">
        <v>1169</v>
      </c>
      <c r="B312" s="5" t="s">
        <v>1170</v>
      </c>
      <c r="C312" s="5" t="s">
        <v>15</v>
      </c>
      <c r="D312" s="5">
        <v>1</v>
      </c>
      <c r="E312" s="5" t="s">
        <v>1667</v>
      </c>
      <c r="F312" s="5" t="s">
        <v>1158</v>
      </c>
    </row>
    <row r="313" spans="1:6">
      <c r="A313" s="5" t="s">
        <v>1169</v>
      </c>
      <c r="B313" s="5" t="s">
        <v>1170</v>
      </c>
      <c r="C313" s="5" t="s">
        <v>15</v>
      </c>
      <c r="D313" s="5">
        <v>2</v>
      </c>
      <c r="E313" s="5" t="s">
        <v>201</v>
      </c>
      <c r="F313" s="5" t="s">
        <v>1158</v>
      </c>
    </row>
    <row r="314" spans="1:6">
      <c r="A314" s="5" t="s">
        <v>1169</v>
      </c>
      <c r="B314" s="5" t="s">
        <v>1170</v>
      </c>
      <c r="C314" s="5" t="s">
        <v>15</v>
      </c>
      <c r="D314" s="5">
        <v>3</v>
      </c>
      <c r="E314" s="5" t="s">
        <v>1668</v>
      </c>
      <c r="F314" s="5" t="s">
        <v>1158</v>
      </c>
    </row>
    <row r="315" spans="1:6">
      <c r="A315" s="5" t="s">
        <v>1169</v>
      </c>
      <c r="B315" s="5" t="s">
        <v>1170</v>
      </c>
      <c r="C315" s="5" t="s">
        <v>15</v>
      </c>
      <c r="D315" s="5">
        <v>4</v>
      </c>
      <c r="E315" s="5" t="s">
        <v>1669</v>
      </c>
      <c r="F315" s="5" t="s">
        <v>1158</v>
      </c>
    </row>
    <row r="316" spans="1:6">
      <c r="A316" s="5" t="s">
        <v>1169</v>
      </c>
      <c r="B316" s="5" t="s">
        <v>1170</v>
      </c>
      <c r="C316" s="5" t="s">
        <v>15</v>
      </c>
      <c r="D316" s="5">
        <v>5</v>
      </c>
      <c r="E316" s="5" t="s">
        <v>1670</v>
      </c>
      <c r="F316" s="5" t="s">
        <v>1158</v>
      </c>
    </row>
    <row r="317" spans="1:6">
      <c r="A317" s="5" t="s">
        <v>1169</v>
      </c>
      <c r="B317" s="5" t="s">
        <v>1170</v>
      </c>
      <c r="C317" s="5" t="s">
        <v>15</v>
      </c>
      <c r="D317" s="5">
        <v>6</v>
      </c>
      <c r="E317" s="5" t="s">
        <v>1671</v>
      </c>
      <c r="F317" s="5" t="s">
        <v>1158</v>
      </c>
    </row>
    <row r="318" spans="1:6">
      <c r="A318" s="5" t="s">
        <v>1169</v>
      </c>
      <c r="B318" s="5" t="s">
        <v>1170</v>
      </c>
      <c r="C318" s="5" t="s">
        <v>15</v>
      </c>
      <c r="D318" s="5">
        <v>7</v>
      </c>
      <c r="E318" s="5" t="s">
        <v>1672</v>
      </c>
      <c r="F318" s="5" t="s">
        <v>1158</v>
      </c>
    </row>
    <row r="319" spans="1:6">
      <c r="A319" s="5" t="s">
        <v>1169</v>
      </c>
      <c r="B319" s="5" t="s">
        <v>1170</v>
      </c>
      <c r="C319" s="5" t="s">
        <v>15</v>
      </c>
      <c r="D319" s="5">
        <v>8</v>
      </c>
      <c r="E319" s="5" t="s">
        <v>1594</v>
      </c>
      <c r="F319" s="5" t="s">
        <v>1158</v>
      </c>
    </row>
    <row r="320" spans="1:6">
      <c r="A320" s="5" t="s">
        <v>1182</v>
      </c>
      <c r="B320" s="5" t="s">
        <v>1183</v>
      </c>
      <c r="C320" s="5" t="s">
        <v>15</v>
      </c>
      <c r="D320" s="5">
        <v>1</v>
      </c>
      <c r="E320" s="5" t="s">
        <v>1673</v>
      </c>
      <c r="F320" s="5" t="s">
        <v>1158</v>
      </c>
    </row>
    <row r="321" spans="1:6">
      <c r="A321" s="5" t="s">
        <v>1182</v>
      </c>
      <c r="B321" s="5" t="s">
        <v>1183</v>
      </c>
      <c r="C321" s="5" t="s">
        <v>15</v>
      </c>
      <c r="D321" s="5">
        <v>2</v>
      </c>
      <c r="E321" s="5" t="s">
        <v>1674</v>
      </c>
      <c r="F321" s="5" t="s">
        <v>1158</v>
      </c>
    </row>
    <row r="322" spans="1:6">
      <c r="A322" s="5" t="s">
        <v>1182</v>
      </c>
      <c r="B322" s="5" t="s">
        <v>1183</v>
      </c>
      <c r="C322" s="5" t="s">
        <v>15</v>
      </c>
      <c r="D322" s="5">
        <v>3</v>
      </c>
      <c r="E322" s="5" t="s">
        <v>1594</v>
      </c>
      <c r="F322" s="5" t="s">
        <v>1158</v>
      </c>
    </row>
    <row r="323" spans="1:6">
      <c r="A323" s="5" t="s">
        <v>1182</v>
      </c>
      <c r="B323" s="5" t="s">
        <v>1183</v>
      </c>
      <c r="C323" s="5" t="s">
        <v>15</v>
      </c>
      <c r="D323" s="5">
        <v>4</v>
      </c>
      <c r="E323" s="5" t="s">
        <v>1675</v>
      </c>
      <c r="F323" s="5" t="s">
        <v>1158</v>
      </c>
    </row>
    <row r="324" spans="1:6">
      <c r="A324" s="5" t="s">
        <v>1182</v>
      </c>
      <c r="B324" s="5" t="s">
        <v>1183</v>
      </c>
      <c r="C324" s="5" t="s">
        <v>15</v>
      </c>
      <c r="D324" s="5">
        <v>5</v>
      </c>
      <c r="E324" s="5" t="s">
        <v>1676</v>
      </c>
      <c r="F324" s="5" t="s">
        <v>1158</v>
      </c>
    </row>
    <row r="325" spans="1:6">
      <c r="A325" s="5" t="s">
        <v>1182</v>
      </c>
      <c r="B325" s="5" t="s">
        <v>1183</v>
      </c>
      <c r="C325" s="5" t="s">
        <v>15</v>
      </c>
      <c r="D325" s="5">
        <v>6</v>
      </c>
      <c r="E325" s="5" t="s">
        <v>1537</v>
      </c>
      <c r="F325" s="5" t="s">
        <v>1158</v>
      </c>
    </row>
    <row r="326" spans="1:6">
      <c r="A326" s="5" t="s">
        <v>1182</v>
      </c>
      <c r="B326" s="5" t="s">
        <v>1183</v>
      </c>
      <c r="C326" s="5" t="s">
        <v>15</v>
      </c>
      <c r="D326" s="5">
        <v>7</v>
      </c>
      <c r="E326" s="5" t="s">
        <v>1677</v>
      </c>
      <c r="F326" s="5" t="s">
        <v>1158</v>
      </c>
    </row>
    <row r="327" spans="1:6">
      <c r="A327" s="5" t="s">
        <v>1195</v>
      </c>
      <c r="B327" s="5" t="s">
        <v>1196</v>
      </c>
      <c r="C327" s="5" t="s">
        <v>15</v>
      </c>
      <c r="D327" s="5">
        <v>1</v>
      </c>
      <c r="E327" s="5" t="s">
        <v>1537</v>
      </c>
      <c r="F327" s="5" t="s">
        <v>1158</v>
      </c>
    </row>
    <row r="328" spans="1:6">
      <c r="A328" s="5" t="s">
        <v>1195</v>
      </c>
      <c r="B328" s="5" t="s">
        <v>1196</v>
      </c>
      <c r="C328" s="5" t="s">
        <v>15</v>
      </c>
      <c r="D328" s="5">
        <v>2</v>
      </c>
      <c r="E328" s="5" t="s">
        <v>1474</v>
      </c>
      <c r="F328" s="5" t="s">
        <v>1158</v>
      </c>
    </row>
    <row r="329" spans="1:6">
      <c r="A329" s="5" t="s">
        <v>1195</v>
      </c>
      <c r="B329" s="5" t="s">
        <v>1196</v>
      </c>
      <c r="C329" s="5" t="s">
        <v>15</v>
      </c>
      <c r="D329" s="5">
        <v>3</v>
      </c>
      <c r="E329" s="5" t="s">
        <v>1678</v>
      </c>
      <c r="F329" s="5" t="s">
        <v>1158</v>
      </c>
    </row>
    <row r="330" spans="1:6">
      <c r="A330" s="5" t="s">
        <v>1195</v>
      </c>
      <c r="B330" s="5" t="s">
        <v>1196</v>
      </c>
      <c r="C330" s="5" t="s">
        <v>15</v>
      </c>
      <c r="D330" s="5">
        <v>4</v>
      </c>
      <c r="E330" s="5" t="s">
        <v>1675</v>
      </c>
      <c r="F330" s="5" t="s">
        <v>1158</v>
      </c>
    </row>
    <row r="331" spans="1:6">
      <c r="A331" s="5" t="s">
        <v>1195</v>
      </c>
      <c r="B331" s="5" t="s">
        <v>1196</v>
      </c>
      <c r="C331" s="5" t="s">
        <v>15</v>
      </c>
      <c r="D331" s="5">
        <v>5</v>
      </c>
      <c r="E331" s="5" t="s">
        <v>1679</v>
      </c>
      <c r="F331" s="5" t="s">
        <v>1158</v>
      </c>
    </row>
    <row r="332" spans="1:6">
      <c r="A332" s="5" t="s">
        <v>1195</v>
      </c>
      <c r="B332" s="5" t="s">
        <v>1196</v>
      </c>
      <c r="C332" s="5" t="s">
        <v>15</v>
      </c>
      <c r="D332" s="5">
        <v>6</v>
      </c>
      <c r="E332" s="5" t="s">
        <v>1673</v>
      </c>
      <c r="F332" s="5" t="s">
        <v>1158</v>
      </c>
    </row>
    <row r="333" spans="1:6">
      <c r="A333" s="5" t="s">
        <v>1195</v>
      </c>
      <c r="B333" s="5" t="s">
        <v>1196</v>
      </c>
      <c r="C333" s="5" t="s">
        <v>15</v>
      </c>
      <c r="D333" s="5">
        <v>7</v>
      </c>
      <c r="E333" s="5" t="s">
        <v>1680</v>
      </c>
      <c r="F333" s="5" t="s">
        <v>1158</v>
      </c>
    </row>
    <row r="334" spans="1:6">
      <c r="A334" s="5" t="s">
        <v>1208</v>
      </c>
      <c r="B334" s="5" t="s">
        <v>1209</v>
      </c>
      <c r="C334" s="5" t="s">
        <v>11</v>
      </c>
      <c r="D334" s="5">
        <v>1</v>
      </c>
      <c r="E334" s="5" t="s">
        <v>1681</v>
      </c>
      <c r="F334" s="5" t="s">
        <v>1211</v>
      </c>
    </row>
    <row r="335" spans="1:6">
      <c r="A335" s="5" t="s">
        <v>1208</v>
      </c>
      <c r="B335" s="5" t="s">
        <v>1209</v>
      </c>
      <c r="C335" s="5" t="s">
        <v>11</v>
      </c>
      <c r="D335" s="5">
        <v>2</v>
      </c>
      <c r="E335" s="5" t="s">
        <v>1682</v>
      </c>
      <c r="F335" s="5" t="s">
        <v>1211</v>
      </c>
    </row>
    <row r="336" spans="1:6">
      <c r="A336" s="5" t="s">
        <v>1208</v>
      </c>
      <c r="B336" s="5" t="s">
        <v>1209</v>
      </c>
      <c r="C336" s="5" t="s">
        <v>11</v>
      </c>
      <c r="D336" s="5">
        <v>3</v>
      </c>
      <c r="E336" s="5" t="s">
        <v>1683</v>
      </c>
      <c r="F336" s="5" t="s">
        <v>1211</v>
      </c>
    </row>
    <row r="337" spans="1:6">
      <c r="A337" s="5" t="s">
        <v>1208</v>
      </c>
      <c r="B337" s="5" t="s">
        <v>1209</v>
      </c>
      <c r="C337" s="5" t="s">
        <v>11</v>
      </c>
      <c r="D337" s="5">
        <v>4</v>
      </c>
      <c r="E337" s="5" t="s">
        <v>1567</v>
      </c>
      <c r="F337" s="5" t="s">
        <v>1211</v>
      </c>
    </row>
    <row r="338" spans="1:6">
      <c r="A338" s="5" t="s">
        <v>1208</v>
      </c>
      <c r="B338" s="5" t="s">
        <v>1209</v>
      </c>
      <c r="C338" s="5" t="s">
        <v>11</v>
      </c>
      <c r="D338" s="5">
        <v>5</v>
      </c>
      <c r="E338" s="5" t="s">
        <v>1595</v>
      </c>
      <c r="F338" s="5" t="s">
        <v>1211</v>
      </c>
    </row>
    <row r="339" spans="1:6">
      <c r="A339" s="5" t="s">
        <v>1208</v>
      </c>
      <c r="B339" s="5" t="s">
        <v>1209</v>
      </c>
      <c r="C339" s="5" t="s">
        <v>11</v>
      </c>
      <c r="D339" s="5">
        <v>6</v>
      </c>
      <c r="E339" s="5" t="s">
        <v>1684</v>
      </c>
      <c r="F339" s="5" t="s">
        <v>1211</v>
      </c>
    </row>
    <row r="340" spans="1:6">
      <c r="A340" s="5" t="s">
        <v>1223</v>
      </c>
      <c r="B340" s="5" t="s">
        <v>1224</v>
      </c>
      <c r="C340" s="5" t="s">
        <v>11</v>
      </c>
      <c r="D340" s="5">
        <v>1</v>
      </c>
      <c r="E340" s="5" t="s">
        <v>1685</v>
      </c>
      <c r="F340" s="5" t="s">
        <v>1226</v>
      </c>
    </row>
    <row r="341" spans="1:6">
      <c r="A341" s="5" t="s">
        <v>1223</v>
      </c>
      <c r="B341" s="5" t="s">
        <v>1224</v>
      </c>
      <c r="C341" s="5" t="s">
        <v>11</v>
      </c>
      <c r="D341" s="5">
        <v>2</v>
      </c>
      <c r="E341" s="5" t="s">
        <v>1686</v>
      </c>
      <c r="F341" s="5" t="s">
        <v>1226</v>
      </c>
    </row>
    <row r="342" spans="1:6">
      <c r="A342" s="5" t="s">
        <v>1237</v>
      </c>
      <c r="B342" s="5" t="s">
        <v>1238</v>
      </c>
      <c r="C342" s="5" t="s">
        <v>11</v>
      </c>
      <c r="D342" s="5">
        <v>1</v>
      </c>
      <c r="E342" s="5" t="s">
        <v>1687</v>
      </c>
      <c r="F342" s="5" t="s">
        <v>1240</v>
      </c>
    </row>
    <row r="343" spans="1:6">
      <c r="A343" s="5" t="s">
        <v>1237</v>
      </c>
      <c r="B343" s="5" t="s">
        <v>1238</v>
      </c>
      <c r="C343" s="5" t="s">
        <v>11</v>
      </c>
      <c r="D343" s="5">
        <v>2</v>
      </c>
      <c r="E343" s="5" t="s">
        <v>1688</v>
      </c>
      <c r="F343" s="5" t="s">
        <v>1240</v>
      </c>
    </row>
    <row r="344" spans="1:6">
      <c r="A344" s="5" t="s">
        <v>1237</v>
      </c>
      <c r="B344" s="5" t="s">
        <v>1238</v>
      </c>
      <c r="C344" s="5" t="s">
        <v>11</v>
      </c>
      <c r="D344" s="5">
        <v>3</v>
      </c>
      <c r="E344" s="5" t="s">
        <v>1689</v>
      </c>
      <c r="F344" s="5" t="s">
        <v>1240</v>
      </c>
    </row>
    <row r="345" spans="1:6">
      <c r="A345" s="5" t="s">
        <v>1251</v>
      </c>
      <c r="B345" s="5" t="s">
        <v>1252</v>
      </c>
      <c r="C345" s="5" t="s">
        <v>11</v>
      </c>
      <c r="D345" s="5">
        <v>1</v>
      </c>
      <c r="E345" s="5" t="s">
        <v>1690</v>
      </c>
      <c r="F345" s="5" t="s">
        <v>1254</v>
      </c>
    </row>
    <row r="346" spans="1:6">
      <c r="A346" s="5" t="s">
        <v>1251</v>
      </c>
      <c r="B346" s="5" t="s">
        <v>1252</v>
      </c>
      <c r="C346" s="5" t="s">
        <v>11</v>
      </c>
      <c r="D346" s="5">
        <v>2</v>
      </c>
      <c r="E346" s="5" t="s">
        <v>1691</v>
      </c>
      <c r="F346" s="5" t="s">
        <v>1254</v>
      </c>
    </row>
    <row r="347" spans="1:6">
      <c r="A347" s="5" t="s">
        <v>1251</v>
      </c>
      <c r="B347" s="5" t="s">
        <v>1252</v>
      </c>
      <c r="C347" s="5" t="s">
        <v>11</v>
      </c>
      <c r="D347" s="5">
        <v>3</v>
      </c>
      <c r="E347" s="5" t="s">
        <v>1615</v>
      </c>
      <c r="F347" s="5" t="s">
        <v>1254</v>
      </c>
    </row>
    <row r="348" spans="1:6">
      <c r="A348" s="5" t="s">
        <v>1251</v>
      </c>
      <c r="B348" s="5" t="s">
        <v>1252</v>
      </c>
      <c r="C348" s="5" t="s">
        <v>11</v>
      </c>
      <c r="D348" s="5">
        <v>4</v>
      </c>
      <c r="E348" s="5" t="s">
        <v>1692</v>
      </c>
      <c r="F348" s="5" t="s">
        <v>1254</v>
      </c>
    </row>
    <row r="349" spans="1:6">
      <c r="A349" s="5" t="s">
        <v>1251</v>
      </c>
      <c r="B349" s="5" t="s">
        <v>1252</v>
      </c>
      <c r="C349" s="5" t="s">
        <v>11</v>
      </c>
      <c r="D349" s="5">
        <v>5</v>
      </c>
      <c r="E349" s="5" t="s">
        <v>1693</v>
      </c>
      <c r="F349" s="5" t="s">
        <v>1254</v>
      </c>
    </row>
    <row r="350" spans="1:6">
      <c r="A350" s="5" t="s">
        <v>1251</v>
      </c>
      <c r="B350" s="5" t="s">
        <v>1252</v>
      </c>
      <c r="C350" s="5" t="s">
        <v>11</v>
      </c>
      <c r="D350" s="5">
        <v>6</v>
      </c>
      <c r="E350" s="5" t="s">
        <v>1694</v>
      </c>
      <c r="F350" s="5" t="s">
        <v>1254</v>
      </c>
    </row>
    <row r="351" spans="1:6">
      <c r="A351" s="5" t="s">
        <v>1251</v>
      </c>
      <c r="B351" s="5" t="s">
        <v>1252</v>
      </c>
      <c r="C351" s="5" t="s">
        <v>11</v>
      </c>
      <c r="D351" s="5">
        <v>7</v>
      </c>
      <c r="E351" s="5" t="s">
        <v>1665</v>
      </c>
      <c r="F351" s="5" t="s">
        <v>1254</v>
      </c>
    </row>
    <row r="352" spans="1:6">
      <c r="A352" s="5" t="s">
        <v>1251</v>
      </c>
      <c r="B352" s="5" t="s">
        <v>1252</v>
      </c>
      <c r="C352" s="5" t="s">
        <v>11</v>
      </c>
      <c r="D352" s="5">
        <v>8</v>
      </c>
      <c r="E352" s="5" t="s">
        <v>1611</v>
      </c>
      <c r="F352" s="5" t="s">
        <v>1254</v>
      </c>
    </row>
    <row r="353" spans="1:6">
      <c r="A353" s="5" t="s">
        <v>1251</v>
      </c>
      <c r="B353" s="5" t="s">
        <v>1252</v>
      </c>
      <c r="C353" s="5" t="s">
        <v>11</v>
      </c>
      <c r="D353" s="5">
        <v>9</v>
      </c>
      <c r="E353" s="5" t="s">
        <v>1460</v>
      </c>
      <c r="F353" s="5" t="s">
        <v>1254</v>
      </c>
    </row>
    <row r="354" spans="1:6">
      <c r="A354" s="5" t="s">
        <v>1265</v>
      </c>
      <c r="B354" s="5" t="s">
        <v>1266</v>
      </c>
      <c r="C354" s="5" t="s">
        <v>11</v>
      </c>
      <c r="D354" s="5">
        <v>1</v>
      </c>
      <c r="E354" s="5" t="s">
        <v>1695</v>
      </c>
      <c r="F354" s="5" t="s">
        <v>1254</v>
      </c>
    </row>
    <row r="355" spans="1:6">
      <c r="A355" s="5" t="s">
        <v>1265</v>
      </c>
      <c r="B355" s="5" t="s">
        <v>1266</v>
      </c>
      <c r="C355" s="5" t="s">
        <v>11</v>
      </c>
      <c r="D355" s="5">
        <v>2</v>
      </c>
      <c r="E355" s="5" t="s">
        <v>1696</v>
      </c>
      <c r="F355" s="5" t="s">
        <v>1254</v>
      </c>
    </row>
    <row r="356" spans="1:6">
      <c r="A356" s="5" t="s">
        <v>1265</v>
      </c>
      <c r="B356" s="5" t="s">
        <v>1266</v>
      </c>
      <c r="C356" s="5" t="s">
        <v>11</v>
      </c>
      <c r="D356" s="5">
        <v>3</v>
      </c>
      <c r="E356" s="5" t="s">
        <v>1615</v>
      </c>
      <c r="F356" s="5" t="s">
        <v>1254</v>
      </c>
    </row>
    <row r="357" spans="1:6">
      <c r="A357" s="5" t="s">
        <v>1265</v>
      </c>
      <c r="B357" s="5" t="s">
        <v>1266</v>
      </c>
      <c r="C357" s="5" t="s">
        <v>11</v>
      </c>
      <c r="D357" s="5">
        <v>4</v>
      </c>
      <c r="E357" s="5" t="s">
        <v>1692</v>
      </c>
      <c r="F357" s="5" t="s">
        <v>1254</v>
      </c>
    </row>
    <row r="358" spans="1:6">
      <c r="A358" s="5" t="s">
        <v>1265</v>
      </c>
      <c r="B358" s="5" t="s">
        <v>1266</v>
      </c>
      <c r="C358" s="5" t="s">
        <v>11</v>
      </c>
      <c r="D358" s="5">
        <v>5</v>
      </c>
      <c r="E358" s="5" t="s">
        <v>1697</v>
      </c>
      <c r="F358" s="5" t="s">
        <v>1254</v>
      </c>
    </row>
    <row r="359" spans="1:6">
      <c r="A359" s="5" t="s">
        <v>1265</v>
      </c>
      <c r="B359" s="5" t="s">
        <v>1266</v>
      </c>
      <c r="C359" s="5" t="s">
        <v>11</v>
      </c>
      <c r="D359" s="5">
        <v>6</v>
      </c>
      <c r="E359" s="5" t="s">
        <v>1698</v>
      </c>
      <c r="F359" s="5" t="s">
        <v>1254</v>
      </c>
    </row>
    <row r="360" spans="1:6">
      <c r="A360" s="5" t="s">
        <v>1278</v>
      </c>
      <c r="B360" s="5" t="s">
        <v>1279</v>
      </c>
      <c r="C360" s="5" t="s">
        <v>11</v>
      </c>
      <c r="D360" s="5">
        <v>1</v>
      </c>
      <c r="E360" s="5" t="s">
        <v>1699</v>
      </c>
      <c r="F360" s="5" t="s">
        <v>1254</v>
      </c>
    </row>
    <row r="361" spans="1:6">
      <c r="A361" s="5" t="s">
        <v>1278</v>
      </c>
      <c r="B361" s="5" t="s">
        <v>1279</v>
      </c>
      <c r="C361" s="5" t="s">
        <v>11</v>
      </c>
      <c r="D361" s="5">
        <v>2</v>
      </c>
      <c r="E361" s="5" t="s">
        <v>1700</v>
      </c>
      <c r="F361" s="5" t="s">
        <v>1254</v>
      </c>
    </row>
    <row r="362" spans="1:6">
      <c r="A362" s="5" t="s">
        <v>1278</v>
      </c>
      <c r="B362" s="5" t="s">
        <v>1279</v>
      </c>
      <c r="C362" s="5" t="s">
        <v>11</v>
      </c>
      <c r="D362" s="5">
        <v>3</v>
      </c>
      <c r="E362" s="5" t="s">
        <v>1627</v>
      </c>
      <c r="F362" s="5" t="s">
        <v>1254</v>
      </c>
    </row>
    <row r="363" spans="1:6">
      <c r="A363" s="5" t="s">
        <v>1278</v>
      </c>
      <c r="B363" s="5" t="s">
        <v>1279</v>
      </c>
      <c r="C363" s="5" t="s">
        <v>11</v>
      </c>
      <c r="D363" s="5">
        <v>4</v>
      </c>
      <c r="E363" s="5" t="s">
        <v>1701</v>
      </c>
      <c r="F363" s="5" t="s">
        <v>1254</v>
      </c>
    </row>
    <row r="364" spans="1:6">
      <c r="A364" s="5" t="s">
        <v>1278</v>
      </c>
      <c r="B364" s="5" t="s">
        <v>1279</v>
      </c>
      <c r="C364" s="5" t="s">
        <v>11</v>
      </c>
      <c r="D364" s="5">
        <v>5</v>
      </c>
      <c r="E364" s="5" t="s">
        <v>1702</v>
      </c>
      <c r="F364" s="5" t="s">
        <v>1254</v>
      </c>
    </row>
    <row r="365" spans="1:6">
      <c r="A365" s="5" t="s">
        <v>1278</v>
      </c>
      <c r="B365" s="5" t="s">
        <v>1279</v>
      </c>
      <c r="C365" s="5" t="s">
        <v>11</v>
      </c>
      <c r="D365" s="5">
        <v>6</v>
      </c>
      <c r="E365" s="5" t="s">
        <v>1703</v>
      </c>
      <c r="F365" s="5" t="s">
        <v>1254</v>
      </c>
    </row>
    <row r="366" spans="1:6">
      <c r="A366" s="5" t="s">
        <v>1291</v>
      </c>
      <c r="B366" s="5" t="s">
        <v>1292</v>
      </c>
      <c r="C366" s="5" t="s">
        <v>11</v>
      </c>
      <c r="D366" s="5">
        <v>1</v>
      </c>
      <c r="E366" s="5" t="s">
        <v>1704</v>
      </c>
      <c r="F366" s="5" t="s">
        <v>1254</v>
      </c>
    </row>
    <row r="367" spans="1:6">
      <c r="A367" s="5" t="s">
        <v>1291</v>
      </c>
      <c r="B367" s="5" t="s">
        <v>1292</v>
      </c>
      <c r="C367" s="5" t="s">
        <v>11</v>
      </c>
      <c r="D367" s="5">
        <v>2</v>
      </c>
      <c r="E367" s="5" t="s">
        <v>1705</v>
      </c>
      <c r="F367" s="5" t="s">
        <v>1254</v>
      </c>
    </row>
    <row r="368" spans="1:6">
      <c r="A368" s="5" t="s">
        <v>1291</v>
      </c>
      <c r="B368" s="5" t="s">
        <v>1292</v>
      </c>
      <c r="C368" s="5" t="s">
        <v>11</v>
      </c>
      <c r="D368" s="5">
        <v>3</v>
      </c>
      <c r="E368" s="5" t="s">
        <v>1706</v>
      </c>
      <c r="F368" s="5" t="s">
        <v>1254</v>
      </c>
    </row>
    <row r="369" spans="1:6">
      <c r="A369" s="5" t="s">
        <v>1291</v>
      </c>
      <c r="B369" s="5" t="s">
        <v>1292</v>
      </c>
      <c r="C369" s="5" t="s">
        <v>11</v>
      </c>
      <c r="D369" s="5">
        <v>4</v>
      </c>
      <c r="E369" s="5" t="s">
        <v>1707</v>
      </c>
      <c r="F369" s="5" t="s">
        <v>1254</v>
      </c>
    </row>
    <row r="370" spans="1:6">
      <c r="A370" s="5" t="s">
        <v>1291</v>
      </c>
      <c r="B370" s="5" t="s">
        <v>1292</v>
      </c>
      <c r="C370" s="5" t="s">
        <v>11</v>
      </c>
      <c r="D370" s="5">
        <v>5</v>
      </c>
      <c r="E370" s="5" t="s">
        <v>1643</v>
      </c>
      <c r="F370" s="5" t="s">
        <v>1254</v>
      </c>
    </row>
    <row r="371" spans="1:6" ht="27.6">
      <c r="A371" s="5" t="s">
        <v>1304</v>
      </c>
      <c r="B371" s="5" t="s">
        <v>1305</v>
      </c>
      <c r="C371" s="5" t="s">
        <v>32</v>
      </c>
      <c r="D371" s="5">
        <v>1</v>
      </c>
      <c r="E371" s="5" t="s">
        <v>1708</v>
      </c>
      <c r="F371" s="5" t="s">
        <v>1307</v>
      </c>
    </row>
    <row r="372" spans="1:6" ht="27.6">
      <c r="A372" s="5" t="s">
        <v>1304</v>
      </c>
      <c r="B372" s="5" t="s">
        <v>1305</v>
      </c>
      <c r="C372" s="5" t="s">
        <v>32</v>
      </c>
      <c r="D372" s="5">
        <v>2</v>
      </c>
      <c r="E372" s="5" t="s">
        <v>1577</v>
      </c>
      <c r="F372" s="5" t="s">
        <v>1307</v>
      </c>
    </row>
    <row r="373" spans="1:6" ht="27.6">
      <c r="A373" s="5" t="s">
        <v>1304</v>
      </c>
      <c r="B373" s="5" t="s">
        <v>1305</v>
      </c>
      <c r="C373" s="5" t="s">
        <v>32</v>
      </c>
      <c r="D373" s="5">
        <v>3</v>
      </c>
      <c r="E373" s="5" t="s">
        <v>232</v>
      </c>
      <c r="F373" s="5" t="s">
        <v>1307</v>
      </c>
    </row>
    <row r="374" spans="1:6" ht="27.6">
      <c r="A374" s="5" t="s">
        <v>1304</v>
      </c>
      <c r="B374" s="5" t="s">
        <v>1305</v>
      </c>
      <c r="C374" s="5" t="s">
        <v>32</v>
      </c>
      <c r="D374" s="5">
        <v>4</v>
      </c>
      <c r="E374" s="5" t="s">
        <v>1561</v>
      </c>
      <c r="F374" s="5" t="s">
        <v>1307</v>
      </c>
    </row>
    <row r="375" spans="1:6" ht="27.6">
      <c r="A375" s="5" t="s">
        <v>1304</v>
      </c>
      <c r="B375" s="5" t="s">
        <v>1305</v>
      </c>
      <c r="C375" s="5" t="s">
        <v>32</v>
      </c>
      <c r="D375" s="5">
        <v>5</v>
      </c>
      <c r="E375" s="5" t="s">
        <v>1709</v>
      </c>
      <c r="F375" s="5" t="s">
        <v>1307</v>
      </c>
    </row>
    <row r="376" spans="1:6" ht="27.6">
      <c r="A376" s="5" t="s">
        <v>1304</v>
      </c>
      <c r="B376" s="5" t="s">
        <v>1305</v>
      </c>
      <c r="C376" s="5" t="s">
        <v>32</v>
      </c>
      <c r="D376" s="5">
        <v>6</v>
      </c>
      <c r="E376" s="5" t="s">
        <v>1710</v>
      </c>
      <c r="F376" s="5" t="s">
        <v>1307</v>
      </c>
    </row>
    <row r="377" spans="1:6">
      <c r="A377" s="5" t="s">
        <v>1319</v>
      </c>
      <c r="B377" s="5" t="s">
        <v>1320</v>
      </c>
      <c r="C377" s="5" t="s">
        <v>32</v>
      </c>
      <c r="D377" s="5">
        <v>1</v>
      </c>
      <c r="E377" s="5" t="s">
        <v>286</v>
      </c>
      <c r="F377" s="5" t="s">
        <v>1322</v>
      </c>
    </row>
    <row r="378" spans="1:6">
      <c r="A378" s="5" t="s">
        <v>1319</v>
      </c>
      <c r="B378" s="5" t="s">
        <v>1320</v>
      </c>
      <c r="C378" s="5" t="s">
        <v>32</v>
      </c>
      <c r="D378" s="5">
        <v>2</v>
      </c>
      <c r="E378" s="5" t="s">
        <v>1711</v>
      </c>
      <c r="F378" s="5" t="s">
        <v>1322</v>
      </c>
    </row>
    <row r="379" spans="1:6">
      <c r="A379" s="5" t="s">
        <v>1319</v>
      </c>
      <c r="B379" s="5" t="s">
        <v>1320</v>
      </c>
      <c r="C379" s="5" t="s">
        <v>32</v>
      </c>
      <c r="D379" s="5">
        <v>3</v>
      </c>
      <c r="E379" s="5" t="s">
        <v>1571</v>
      </c>
      <c r="F379" s="5" t="s">
        <v>1322</v>
      </c>
    </row>
    <row r="380" spans="1:6">
      <c r="A380" s="5" t="s">
        <v>1319</v>
      </c>
      <c r="B380" s="5" t="s">
        <v>1320</v>
      </c>
      <c r="C380" s="5" t="s">
        <v>32</v>
      </c>
      <c r="D380" s="5">
        <v>4</v>
      </c>
      <c r="E380" s="5" t="s">
        <v>1712</v>
      </c>
      <c r="F380" s="5" t="s">
        <v>1322</v>
      </c>
    </row>
    <row r="381" spans="1:6">
      <c r="A381" s="5" t="s">
        <v>1319</v>
      </c>
      <c r="B381" s="5" t="s">
        <v>1320</v>
      </c>
      <c r="C381" s="5" t="s">
        <v>32</v>
      </c>
      <c r="D381" s="5">
        <v>5</v>
      </c>
      <c r="E381" s="5" t="s">
        <v>1476</v>
      </c>
      <c r="F381" s="5" t="s">
        <v>1322</v>
      </c>
    </row>
    <row r="382" spans="1:6">
      <c r="A382" s="5" t="s">
        <v>1319</v>
      </c>
      <c r="B382" s="5" t="s">
        <v>1320</v>
      </c>
      <c r="C382" s="5" t="s">
        <v>32</v>
      </c>
      <c r="D382" s="5">
        <v>6</v>
      </c>
      <c r="E382" s="5" t="s">
        <v>1475</v>
      </c>
      <c r="F382" s="5" t="s">
        <v>1322</v>
      </c>
    </row>
    <row r="383" spans="1:6">
      <c r="A383" s="5" t="s">
        <v>1319</v>
      </c>
      <c r="B383" s="5" t="s">
        <v>1320</v>
      </c>
      <c r="C383" s="5" t="s">
        <v>32</v>
      </c>
      <c r="D383" s="5">
        <v>7</v>
      </c>
      <c r="E383" s="5" t="s">
        <v>1479</v>
      </c>
      <c r="F383" s="5" t="s">
        <v>1322</v>
      </c>
    </row>
    <row r="384" spans="1:6">
      <c r="A384" s="5" t="s">
        <v>1319</v>
      </c>
      <c r="B384" s="5" t="s">
        <v>1320</v>
      </c>
      <c r="C384" s="5" t="s">
        <v>32</v>
      </c>
      <c r="D384" s="5">
        <v>8</v>
      </c>
      <c r="E384" s="5" t="s">
        <v>1713</v>
      </c>
      <c r="F384" s="5" t="s">
        <v>1322</v>
      </c>
    </row>
    <row r="385" spans="1:6">
      <c r="A385" s="5" t="s">
        <v>1333</v>
      </c>
      <c r="B385" s="5" t="s">
        <v>1334</v>
      </c>
      <c r="C385" s="5" t="s">
        <v>32</v>
      </c>
      <c r="D385" s="5">
        <v>1</v>
      </c>
      <c r="E385" s="5" t="s">
        <v>1714</v>
      </c>
      <c r="F385" s="5" t="s">
        <v>1336</v>
      </c>
    </row>
    <row r="386" spans="1:6">
      <c r="A386" s="5" t="s">
        <v>1333</v>
      </c>
      <c r="B386" s="5" t="s">
        <v>1334</v>
      </c>
      <c r="C386" s="5" t="s">
        <v>32</v>
      </c>
      <c r="D386" s="5">
        <v>2</v>
      </c>
      <c r="E386" s="5" t="s">
        <v>1715</v>
      </c>
      <c r="F386" s="5" t="s">
        <v>1336</v>
      </c>
    </row>
    <row r="387" spans="1:6">
      <c r="A387" s="5" t="s">
        <v>1333</v>
      </c>
      <c r="B387" s="5" t="s">
        <v>1334</v>
      </c>
      <c r="C387" s="5" t="s">
        <v>32</v>
      </c>
      <c r="D387" s="5">
        <v>3</v>
      </c>
      <c r="E387" s="5" t="s">
        <v>1716</v>
      </c>
      <c r="F387" s="5" t="s">
        <v>1336</v>
      </c>
    </row>
    <row r="388" spans="1:6">
      <c r="A388" s="5" t="s">
        <v>1347</v>
      </c>
      <c r="B388" s="5" t="s">
        <v>1348</v>
      </c>
      <c r="C388" s="5" t="s">
        <v>32</v>
      </c>
      <c r="D388" s="5">
        <v>1</v>
      </c>
      <c r="E388" s="5" t="s">
        <v>1717</v>
      </c>
      <c r="F388" s="5" t="s">
        <v>1350</v>
      </c>
    </row>
    <row r="389" spans="1:6">
      <c r="A389" s="5" t="s">
        <v>1347</v>
      </c>
      <c r="B389" s="5" t="s">
        <v>1348</v>
      </c>
      <c r="C389" s="5" t="s">
        <v>32</v>
      </c>
      <c r="D389" s="5">
        <v>2</v>
      </c>
      <c r="E389" s="5" t="s">
        <v>1718</v>
      </c>
      <c r="F389" s="5" t="s">
        <v>1350</v>
      </c>
    </row>
    <row r="390" spans="1:6">
      <c r="A390" s="5" t="s">
        <v>1347</v>
      </c>
      <c r="B390" s="5" t="s">
        <v>1348</v>
      </c>
      <c r="C390" s="5" t="s">
        <v>32</v>
      </c>
      <c r="D390" s="5">
        <v>3</v>
      </c>
      <c r="E390" s="5" t="s">
        <v>1719</v>
      </c>
      <c r="F390" s="5" t="s">
        <v>1350</v>
      </c>
    </row>
    <row r="391" spans="1:6">
      <c r="A391" s="5" t="s">
        <v>1361</v>
      </c>
      <c r="B391" s="5" t="s">
        <v>1362</v>
      </c>
      <c r="C391" s="5" t="s">
        <v>32</v>
      </c>
      <c r="D391" s="5">
        <v>1</v>
      </c>
      <c r="E391" s="5" t="s">
        <v>1465</v>
      </c>
      <c r="F391" s="5" t="s">
        <v>1364</v>
      </c>
    </row>
    <row r="392" spans="1:6">
      <c r="A392" s="5" t="s">
        <v>1361</v>
      </c>
      <c r="B392" s="5" t="s">
        <v>1362</v>
      </c>
      <c r="C392" s="5" t="s">
        <v>32</v>
      </c>
      <c r="D392" s="5">
        <v>2</v>
      </c>
      <c r="E392" s="5" t="s">
        <v>1485</v>
      </c>
      <c r="F392" s="5" t="s">
        <v>1364</v>
      </c>
    </row>
    <row r="393" spans="1:6">
      <c r="A393" s="5" t="s">
        <v>1361</v>
      </c>
      <c r="B393" s="5" t="s">
        <v>1362</v>
      </c>
      <c r="C393" s="5" t="s">
        <v>32</v>
      </c>
      <c r="D393" s="5">
        <v>3</v>
      </c>
      <c r="E393" s="5" t="s">
        <v>1476</v>
      </c>
      <c r="F393" s="5" t="s">
        <v>1364</v>
      </c>
    </row>
    <row r="394" spans="1:6">
      <c r="A394" s="5" t="s">
        <v>1361</v>
      </c>
      <c r="B394" s="5" t="s">
        <v>1362</v>
      </c>
      <c r="C394" s="5" t="s">
        <v>32</v>
      </c>
      <c r="D394" s="5">
        <v>4</v>
      </c>
      <c r="E394" s="5" t="s">
        <v>1720</v>
      </c>
      <c r="F394" s="5" t="s">
        <v>1364</v>
      </c>
    </row>
    <row r="395" spans="1:6">
      <c r="A395" s="5" t="s">
        <v>1375</v>
      </c>
      <c r="B395" s="5" t="s">
        <v>1376</v>
      </c>
      <c r="C395" s="5" t="s">
        <v>16</v>
      </c>
      <c r="D395" s="5">
        <v>1</v>
      </c>
      <c r="E395" s="5" t="s">
        <v>132</v>
      </c>
      <c r="F395" s="5" t="s">
        <v>1378</v>
      </c>
    </row>
    <row r="396" spans="1:6">
      <c r="A396" s="5" t="s">
        <v>1375</v>
      </c>
      <c r="B396" s="5" t="s">
        <v>1376</v>
      </c>
      <c r="C396" s="5" t="s">
        <v>16</v>
      </c>
      <c r="D396" s="5">
        <v>2</v>
      </c>
      <c r="E396" s="5" t="s">
        <v>1721</v>
      </c>
      <c r="F396" s="5" t="s">
        <v>1378</v>
      </c>
    </row>
    <row r="397" spans="1:6">
      <c r="A397" s="5" t="s">
        <v>1375</v>
      </c>
      <c r="B397" s="5" t="s">
        <v>1376</v>
      </c>
      <c r="C397" s="5" t="s">
        <v>16</v>
      </c>
      <c r="D397" s="5">
        <v>3</v>
      </c>
      <c r="E397" s="5" t="s">
        <v>1722</v>
      </c>
      <c r="F397" s="5" t="s">
        <v>1378</v>
      </c>
    </row>
    <row r="398" spans="1:6">
      <c r="A398" s="5" t="s">
        <v>1375</v>
      </c>
      <c r="B398" s="5" t="s">
        <v>1376</v>
      </c>
      <c r="C398" s="5" t="s">
        <v>16</v>
      </c>
      <c r="D398" s="5">
        <v>4</v>
      </c>
      <c r="E398" s="5" t="s">
        <v>1500</v>
      </c>
      <c r="F398" s="5" t="s">
        <v>1378</v>
      </c>
    </row>
    <row r="399" spans="1:6">
      <c r="A399" s="5" t="s">
        <v>1375</v>
      </c>
      <c r="B399" s="5" t="s">
        <v>1376</v>
      </c>
      <c r="C399" s="5" t="s">
        <v>16</v>
      </c>
      <c r="D399" s="5">
        <v>5</v>
      </c>
      <c r="E399" s="5" t="s">
        <v>1593</v>
      </c>
      <c r="F399" s="5" t="s">
        <v>1378</v>
      </c>
    </row>
    <row r="400" spans="1:6">
      <c r="A400" s="5" t="s">
        <v>1375</v>
      </c>
      <c r="B400" s="5" t="s">
        <v>1376</v>
      </c>
      <c r="C400" s="5" t="s">
        <v>16</v>
      </c>
      <c r="D400" s="5">
        <v>6</v>
      </c>
      <c r="E400" s="5" t="s">
        <v>1723</v>
      </c>
      <c r="F400" s="5" t="s">
        <v>1378</v>
      </c>
    </row>
    <row r="401" spans="1:6">
      <c r="A401" s="5" t="s">
        <v>1375</v>
      </c>
      <c r="B401" s="5" t="s">
        <v>1376</v>
      </c>
      <c r="C401" s="5" t="s">
        <v>16</v>
      </c>
      <c r="D401" s="5">
        <v>7</v>
      </c>
      <c r="E401" s="5" t="s">
        <v>1595</v>
      </c>
      <c r="F401" s="5" t="s">
        <v>1378</v>
      </c>
    </row>
    <row r="402" spans="1:6">
      <c r="A402" s="5" t="s">
        <v>1390</v>
      </c>
      <c r="B402" s="5" t="s">
        <v>1391</v>
      </c>
      <c r="C402" s="5" t="s">
        <v>16</v>
      </c>
      <c r="D402" s="5">
        <v>1</v>
      </c>
      <c r="E402" s="5" t="s">
        <v>1465</v>
      </c>
      <c r="F402" s="5" t="s">
        <v>1393</v>
      </c>
    </row>
    <row r="403" spans="1:6">
      <c r="A403" s="5" t="s">
        <v>1390</v>
      </c>
      <c r="B403" s="5" t="s">
        <v>1391</v>
      </c>
      <c r="C403" s="5" t="s">
        <v>16</v>
      </c>
      <c r="D403" s="5">
        <v>2</v>
      </c>
      <c r="E403" s="5" t="s">
        <v>1724</v>
      </c>
      <c r="F403" s="5" t="s">
        <v>1393</v>
      </c>
    </row>
    <row r="404" spans="1:6">
      <c r="A404" s="5" t="s">
        <v>1404</v>
      </c>
      <c r="B404" s="5" t="s">
        <v>1405</v>
      </c>
      <c r="C404" s="5" t="s">
        <v>16</v>
      </c>
      <c r="D404" s="5">
        <v>1</v>
      </c>
      <c r="E404" s="5" t="s">
        <v>1565</v>
      </c>
      <c r="F404" s="5" t="s">
        <v>1407</v>
      </c>
    </row>
    <row r="405" spans="1:6">
      <c r="A405" s="5" t="s">
        <v>1404</v>
      </c>
      <c r="B405" s="5" t="s">
        <v>1405</v>
      </c>
      <c r="C405" s="5" t="s">
        <v>16</v>
      </c>
      <c r="D405" s="5">
        <v>2</v>
      </c>
      <c r="E405" s="5" t="s">
        <v>1468</v>
      </c>
      <c r="F405" s="5" t="s">
        <v>1407</v>
      </c>
    </row>
    <row r="406" spans="1:6">
      <c r="A406" s="5" t="s">
        <v>1404</v>
      </c>
      <c r="B406" s="5" t="s">
        <v>1405</v>
      </c>
      <c r="C406" s="5" t="s">
        <v>16</v>
      </c>
      <c r="D406" s="5">
        <v>3</v>
      </c>
      <c r="E406" s="5" t="s">
        <v>1663</v>
      </c>
      <c r="F406" s="5" t="s">
        <v>1407</v>
      </c>
    </row>
    <row r="407" spans="1:6">
      <c r="A407" s="5" t="s">
        <v>1404</v>
      </c>
      <c r="B407" s="5" t="s">
        <v>1405</v>
      </c>
      <c r="C407" s="5" t="s">
        <v>16</v>
      </c>
      <c r="D407" s="5">
        <v>4</v>
      </c>
      <c r="E407" s="5" t="s">
        <v>1588</v>
      </c>
      <c r="F407" s="5" t="s">
        <v>1407</v>
      </c>
    </row>
    <row r="408" spans="1:6">
      <c r="A408" s="5" t="s">
        <v>1404</v>
      </c>
      <c r="B408" s="5" t="s">
        <v>1405</v>
      </c>
      <c r="C408" s="5" t="s">
        <v>16</v>
      </c>
      <c r="D408" s="5">
        <v>5</v>
      </c>
      <c r="E408" s="5" t="s">
        <v>1725</v>
      </c>
      <c r="F408" s="5" t="s">
        <v>1407</v>
      </c>
    </row>
    <row r="409" spans="1:6">
      <c r="A409" s="5" t="s">
        <v>1418</v>
      </c>
      <c r="B409" s="5" t="s">
        <v>1419</v>
      </c>
      <c r="C409" s="5" t="s">
        <v>16</v>
      </c>
      <c r="D409" s="5">
        <v>1</v>
      </c>
      <c r="E409" s="5" t="s">
        <v>1726</v>
      </c>
      <c r="F409" s="5" t="s">
        <v>1421</v>
      </c>
    </row>
    <row r="410" spans="1:6">
      <c r="A410" s="5" t="s">
        <v>1418</v>
      </c>
      <c r="B410" s="5" t="s">
        <v>1419</v>
      </c>
      <c r="C410" s="5" t="s">
        <v>16</v>
      </c>
      <c r="D410" s="5">
        <v>2</v>
      </c>
      <c r="E410" s="5" t="s">
        <v>1727</v>
      </c>
      <c r="F410" s="5" t="s">
        <v>1421</v>
      </c>
    </row>
    <row r="411" spans="1:6">
      <c r="A411" s="5" t="s">
        <v>1418</v>
      </c>
      <c r="B411" s="5" t="s">
        <v>1419</v>
      </c>
      <c r="C411" s="5" t="s">
        <v>16</v>
      </c>
      <c r="D411" s="5">
        <v>3</v>
      </c>
      <c r="E411" s="5" t="s">
        <v>1474</v>
      </c>
      <c r="F411" s="5" t="s">
        <v>1421</v>
      </c>
    </row>
    <row r="412" spans="1:6">
      <c r="A412" s="5" t="s">
        <v>1418</v>
      </c>
      <c r="B412" s="5" t="s">
        <v>1419</v>
      </c>
      <c r="C412" s="5" t="s">
        <v>16</v>
      </c>
      <c r="D412" s="5">
        <v>4</v>
      </c>
      <c r="E412" s="5" t="s">
        <v>1728</v>
      </c>
      <c r="F412" s="5" t="s">
        <v>1421</v>
      </c>
    </row>
    <row r="413" spans="1:6">
      <c r="A413" s="5" t="s">
        <v>1418</v>
      </c>
      <c r="B413" s="5" t="s">
        <v>1419</v>
      </c>
      <c r="C413" s="5" t="s">
        <v>16</v>
      </c>
      <c r="D413" s="5">
        <v>5</v>
      </c>
      <c r="E413" s="5" t="s">
        <v>1476</v>
      </c>
      <c r="F413" s="5" t="s">
        <v>1421</v>
      </c>
    </row>
    <row r="414" spans="1:6">
      <c r="A414" s="5" t="s">
        <v>1418</v>
      </c>
      <c r="B414" s="5" t="s">
        <v>1419</v>
      </c>
      <c r="C414" s="5" t="s">
        <v>16</v>
      </c>
      <c r="D414" s="5">
        <v>6</v>
      </c>
      <c r="E414" s="5" t="s">
        <v>1729</v>
      </c>
      <c r="F414" s="5" t="s">
        <v>1421</v>
      </c>
    </row>
    <row r="415" spans="1:6">
      <c r="A415" s="5" t="s">
        <v>1432</v>
      </c>
      <c r="B415" s="5" t="s">
        <v>1183</v>
      </c>
      <c r="C415" s="5" t="s">
        <v>16</v>
      </c>
      <c r="D415" s="5">
        <v>1</v>
      </c>
      <c r="E415" s="5" t="s">
        <v>1730</v>
      </c>
      <c r="F415" s="5" t="s">
        <v>1421</v>
      </c>
    </row>
    <row r="416" spans="1:6">
      <c r="A416" s="5" t="s">
        <v>1432</v>
      </c>
      <c r="B416" s="5" t="s">
        <v>1183</v>
      </c>
      <c r="C416" s="5" t="s">
        <v>16</v>
      </c>
      <c r="D416" s="5">
        <v>2</v>
      </c>
      <c r="E416" s="5" t="s">
        <v>1731</v>
      </c>
      <c r="F416" s="5" t="s">
        <v>1421</v>
      </c>
    </row>
    <row r="417" spans="1:6">
      <c r="A417" s="5" t="s">
        <v>1432</v>
      </c>
      <c r="B417" s="5" t="s">
        <v>1183</v>
      </c>
      <c r="C417" s="5" t="s">
        <v>16</v>
      </c>
      <c r="D417" s="5">
        <v>3</v>
      </c>
      <c r="E417" s="5" t="s">
        <v>1594</v>
      </c>
      <c r="F417" s="5" t="s">
        <v>1421</v>
      </c>
    </row>
    <row r="418" spans="1:6">
      <c r="A418" s="5" t="s">
        <v>1432</v>
      </c>
      <c r="B418" s="5" t="s">
        <v>1183</v>
      </c>
      <c r="C418" s="5" t="s">
        <v>16</v>
      </c>
      <c r="D418" s="5">
        <v>4</v>
      </c>
      <c r="E418" s="5" t="s">
        <v>1675</v>
      </c>
      <c r="F418" s="5" t="s">
        <v>1421</v>
      </c>
    </row>
    <row r="419" spans="1:6">
      <c r="A419" s="5" t="s">
        <v>1432</v>
      </c>
      <c r="B419" s="5" t="s">
        <v>1183</v>
      </c>
      <c r="C419" s="5" t="s">
        <v>16</v>
      </c>
      <c r="D419" s="5">
        <v>5</v>
      </c>
      <c r="E419" s="5" t="s">
        <v>1600</v>
      </c>
      <c r="F419" s="5" t="s">
        <v>1421</v>
      </c>
    </row>
    <row r="420" spans="1:6">
      <c r="A420" s="5" t="s">
        <v>1432</v>
      </c>
      <c r="B420" s="5" t="s">
        <v>1183</v>
      </c>
      <c r="C420" s="5" t="s">
        <v>16</v>
      </c>
      <c r="D420" s="5">
        <v>6</v>
      </c>
      <c r="E420" s="5" t="s">
        <v>1732</v>
      </c>
      <c r="F420" s="5" t="s">
        <v>1421</v>
      </c>
    </row>
    <row r="421" spans="1:6">
      <c r="A421" s="5" t="s">
        <v>1432</v>
      </c>
      <c r="B421" s="5" t="s">
        <v>1183</v>
      </c>
      <c r="C421" s="5" t="s">
        <v>16</v>
      </c>
      <c r="D421" s="5">
        <v>7</v>
      </c>
      <c r="E421" s="5" t="s">
        <v>1537</v>
      </c>
      <c r="F421" s="5" t="s">
        <v>1421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2"/>
  <sheetViews>
    <sheetView workbookViewId="0">
      <selection activeCell="A737" sqref="A737"/>
    </sheetView>
  </sheetViews>
  <sheetFormatPr baseColWidth="10" defaultColWidth="8.796875" defaultRowHeight="13.8"/>
  <cols>
    <col min="1" max="1" width="12" customWidth="1"/>
    <col min="2" max="2" width="38" customWidth="1"/>
    <col min="3" max="4" width="24" customWidth="1"/>
    <col min="5" max="5" width="8" customWidth="1"/>
    <col min="6" max="6" width="70" customWidth="1"/>
  </cols>
  <sheetData>
    <row r="1" spans="1:6" ht="22.35" customHeight="1">
      <c r="A1" s="8" t="s">
        <v>1733</v>
      </c>
      <c r="B1" s="8"/>
      <c r="C1" s="8"/>
      <c r="D1" s="8"/>
      <c r="E1" s="8"/>
      <c r="F1" s="8"/>
    </row>
    <row r="2" spans="1:6" ht="27.15" customHeight="1">
      <c r="A2" s="9" t="s">
        <v>1734</v>
      </c>
      <c r="B2" s="9"/>
      <c r="C2" s="9"/>
      <c r="D2" s="9"/>
      <c r="E2" s="9"/>
      <c r="F2" s="9"/>
    </row>
    <row r="4" spans="1:6" ht="22.35" customHeight="1">
      <c r="A4" s="4" t="s">
        <v>1445</v>
      </c>
      <c r="B4" s="4" t="s">
        <v>306</v>
      </c>
      <c r="C4" s="4" t="s">
        <v>8</v>
      </c>
      <c r="D4" s="4" t="s">
        <v>1473</v>
      </c>
      <c r="E4" s="4" t="s">
        <v>1446</v>
      </c>
      <c r="F4" s="4" t="s">
        <v>225</v>
      </c>
    </row>
    <row r="5" spans="1:6" ht="27.6">
      <c r="A5" s="5" t="s">
        <v>322</v>
      </c>
      <c r="B5" s="5" t="s">
        <v>323</v>
      </c>
      <c r="C5" s="5" t="s">
        <v>29</v>
      </c>
      <c r="D5" s="5" t="s">
        <v>1735</v>
      </c>
      <c r="E5" s="5">
        <v>1</v>
      </c>
      <c r="F5" s="5" t="s">
        <v>1736</v>
      </c>
    </row>
    <row r="6" spans="1:6" ht="27.6">
      <c r="A6" s="5" t="s">
        <v>322</v>
      </c>
      <c r="B6" s="5" t="s">
        <v>323</v>
      </c>
      <c r="C6" s="5" t="s">
        <v>29</v>
      </c>
      <c r="D6" s="5" t="s">
        <v>1735</v>
      </c>
      <c r="E6" s="5">
        <v>2</v>
      </c>
      <c r="F6" s="5" t="s">
        <v>1737</v>
      </c>
    </row>
    <row r="7" spans="1:6" ht="27.6">
      <c r="A7" s="5" t="s">
        <v>322</v>
      </c>
      <c r="B7" s="5" t="s">
        <v>323</v>
      </c>
      <c r="C7" s="5" t="s">
        <v>29</v>
      </c>
      <c r="D7" s="5" t="s">
        <v>1735</v>
      </c>
      <c r="E7" s="5">
        <v>3</v>
      </c>
      <c r="F7" s="5" t="s">
        <v>1738</v>
      </c>
    </row>
    <row r="8" spans="1:6" ht="27.6">
      <c r="A8" s="5" t="s">
        <v>322</v>
      </c>
      <c r="B8" s="5" t="s">
        <v>323</v>
      </c>
      <c r="C8" s="5" t="s">
        <v>29</v>
      </c>
      <c r="D8" s="5" t="s">
        <v>1739</v>
      </c>
      <c r="E8" s="5">
        <v>1</v>
      </c>
      <c r="F8" s="5" t="s">
        <v>1740</v>
      </c>
    </row>
    <row r="9" spans="1:6" ht="27.6">
      <c r="A9" s="5" t="s">
        <v>322</v>
      </c>
      <c r="B9" s="5" t="s">
        <v>323</v>
      </c>
      <c r="C9" s="5" t="s">
        <v>29</v>
      </c>
      <c r="D9" s="5" t="s">
        <v>1739</v>
      </c>
      <c r="E9" s="5">
        <v>2</v>
      </c>
      <c r="F9" s="5" t="s">
        <v>1741</v>
      </c>
    </row>
    <row r="10" spans="1:6" ht="27.6">
      <c r="A10" s="5" t="s">
        <v>322</v>
      </c>
      <c r="B10" s="5" t="s">
        <v>323</v>
      </c>
      <c r="C10" s="5" t="s">
        <v>29</v>
      </c>
      <c r="D10" s="5" t="s">
        <v>1739</v>
      </c>
      <c r="E10" s="5">
        <v>3</v>
      </c>
      <c r="F10" s="5" t="s">
        <v>1742</v>
      </c>
    </row>
    <row r="11" spans="1:6" ht="27.6">
      <c r="A11" s="5" t="s">
        <v>322</v>
      </c>
      <c r="B11" s="5" t="s">
        <v>323</v>
      </c>
      <c r="C11" s="5" t="s">
        <v>29</v>
      </c>
      <c r="D11" s="5" t="s">
        <v>1743</v>
      </c>
      <c r="E11" s="5">
        <v>1</v>
      </c>
      <c r="F11" s="5" t="s">
        <v>1744</v>
      </c>
    </row>
    <row r="12" spans="1:6" ht="27.6">
      <c r="A12" s="5" t="s">
        <v>322</v>
      </c>
      <c r="B12" s="5" t="s">
        <v>323</v>
      </c>
      <c r="C12" s="5" t="s">
        <v>29</v>
      </c>
      <c r="D12" s="5" t="s">
        <v>1743</v>
      </c>
      <c r="E12" s="5">
        <v>2</v>
      </c>
      <c r="F12" s="5" t="s">
        <v>1745</v>
      </c>
    </row>
    <row r="13" spans="1:6" ht="27.6">
      <c r="A13" s="5" t="s">
        <v>322</v>
      </c>
      <c r="B13" s="5" t="s">
        <v>323</v>
      </c>
      <c r="C13" s="5" t="s">
        <v>29</v>
      </c>
      <c r="D13" s="5" t="s">
        <v>1743</v>
      </c>
      <c r="E13" s="5">
        <v>3</v>
      </c>
      <c r="F13" s="5" t="s">
        <v>1746</v>
      </c>
    </row>
    <row r="14" spans="1:6" ht="27.6">
      <c r="A14" s="5" t="s">
        <v>322</v>
      </c>
      <c r="B14" s="5" t="s">
        <v>323</v>
      </c>
      <c r="C14" s="5" t="s">
        <v>29</v>
      </c>
      <c r="D14" s="5" t="s">
        <v>1743</v>
      </c>
      <c r="E14" s="5">
        <v>4</v>
      </c>
      <c r="F14" s="5" t="s">
        <v>1747</v>
      </c>
    </row>
    <row r="15" spans="1:6" ht="27.6">
      <c r="A15" s="5" t="s">
        <v>322</v>
      </c>
      <c r="B15" s="5" t="s">
        <v>323</v>
      </c>
      <c r="C15" s="5" t="s">
        <v>29</v>
      </c>
      <c r="D15" s="5" t="s">
        <v>1748</v>
      </c>
      <c r="E15" s="5">
        <v>1</v>
      </c>
      <c r="F15" s="5" t="s">
        <v>1749</v>
      </c>
    </row>
    <row r="16" spans="1:6" ht="27.6">
      <c r="A16" s="5" t="s">
        <v>322</v>
      </c>
      <c r="B16" s="5" t="s">
        <v>323</v>
      </c>
      <c r="C16" s="5" t="s">
        <v>29</v>
      </c>
      <c r="D16" s="5" t="s">
        <v>1748</v>
      </c>
      <c r="E16" s="5">
        <v>2</v>
      </c>
      <c r="F16" s="5" t="s">
        <v>1750</v>
      </c>
    </row>
    <row r="17" spans="1:6" ht="27.6">
      <c r="A17" s="5" t="s">
        <v>341</v>
      </c>
      <c r="B17" s="5" t="s">
        <v>342</v>
      </c>
      <c r="C17" s="5" t="s">
        <v>29</v>
      </c>
      <c r="D17" s="5" t="s">
        <v>1735</v>
      </c>
      <c r="E17" s="5">
        <v>1</v>
      </c>
      <c r="F17" s="5" t="s">
        <v>1751</v>
      </c>
    </row>
    <row r="18" spans="1:6" ht="27.6">
      <c r="A18" s="5" t="s">
        <v>341</v>
      </c>
      <c r="B18" s="5" t="s">
        <v>342</v>
      </c>
      <c r="C18" s="5" t="s">
        <v>29</v>
      </c>
      <c r="D18" s="5" t="s">
        <v>1735</v>
      </c>
      <c r="E18" s="5">
        <v>2</v>
      </c>
      <c r="F18" s="5" t="s">
        <v>1752</v>
      </c>
    </row>
    <row r="19" spans="1:6" ht="27.6">
      <c r="A19" s="5" t="s">
        <v>341</v>
      </c>
      <c r="B19" s="5" t="s">
        <v>342</v>
      </c>
      <c r="C19" s="5" t="s">
        <v>29</v>
      </c>
      <c r="D19" s="5" t="s">
        <v>1735</v>
      </c>
      <c r="E19" s="5">
        <v>3</v>
      </c>
      <c r="F19" s="5" t="s">
        <v>1753</v>
      </c>
    </row>
    <row r="20" spans="1:6" ht="27.6">
      <c r="A20" s="5" t="s">
        <v>341</v>
      </c>
      <c r="B20" s="5" t="s">
        <v>342</v>
      </c>
      <c r="C20" s="5" t="s">
        <v>29</v>
      </c>
      <c r="D20" s="5" t="s">
        <v>1739</v>
      </c>
      <c r="E20" s="5">
        <v>1</v>
      </c>
      <c r="F20" s="5" t="s">
        <v>1754</v>
      </c>
    </row>
    <row r="21" spans="1:6" ht="27.6">
      <c r="A21" s="5" t="s">
        <v>341</v>
      </c>
      <c r="B21" s="5" t="s">
        <v>342</v>
      </c>
      <c r="C21" s="5" t="s">
        <v>29</v>
      </c>
      <c r="D21" s="5" t="s">
        <v>1739</v>
      </c>
      <c r="E21" s="5">
        <v>2</v>
      </c>
      <c r="F21" s="5" t="s">
        <v>1755</v>
      </c>
    </row>
    <row r="22" spans="1:6" ht="27.6">
      <c r="A22" s="5" t="s">
        <v>341</v>
      </c>
      <c r="B22" s="5" t="s">
        <v>342</v>
      </c>
      <c r="C22" s="5" t="s">
        <v>29</v>
      </c>
      <c r="D22" s="5" t="s">
        <v>1739</v>
      </c>
      <c r="E22" s="5">
        <v>3</v>
      </c>
      <c r="F22" s="5" t="s">
        <v>1756</v>
      </c>
    </row>
    <row r="23" spans="1:6" ht="27.6">
      <c r="A23" s="5" t="s">
        <v>341</v>
      </c>
      <c r="B23" s="5" t="s">
        <v>342</v>
      </c>
      <c r="C23" s="5" t="s">
        <v>29</v>
      </c>
      <c r="D23" s="5" t="s">
        <v>1743</v>
      </c>
      <c r="E23" s="5">
        <v>1</v>
      </c>
      <c r="F23" s="5" t="s">
        <v>1757</v>
      </c>
    </row>
    <row r="24" spans="1:6" ht="27.6">
      <c r="A24" s="5" t="s">
        <v>341</v>
      </c>
      <c r="B24" s="5" t="s">
        <v>342</v>
      </c>
      <c r="C24" s="5" t="s">
        <v>29</v>
      </c>
      <c r="D24" s="5" t="s">
        <v>1743</v>
      </c>
      <c r="E24" s="5">
        <v>2</v>
      </c>
      <c r="F24" s="5" t="s">
        <v>1758</v>
      </c>
    </row>
    <row r="25" spans="1:6" ht="27.6">
      <c r="A25" s="5" t="s">
        <v>341</v>
      </c>
      <c r="B25" s="5" t="s">
        <v>342</v>
      </c>
      <c r="C25" s="5" t="s">
        <v>29</v>
      </c>
      <c r="D25" s="5" t="s">
        <v>1748</v>
      </c>
      <c r="E25" s="5">
        <v>1</v>
      </c>
      <c r="F25" s="5" t="s">
        <v>1759</v>
      </c>
    </row>
    <row r="26" spans="1:6" ht="27.6">
      <c r="A26" s="5" t="s">
        <v>355</v>
      </c>
      <c r="B26" s="5" t="s">
        <v>356</v>
      </c>
      <c r="C26" s="5" t="s">
        <v>29</v>
      </c>
      <c r="D26" s="5" t="s">
        <v>1735</v>
      </c>
      <c r="E26" s="5">
        <v>1</v>
      </c>
      <c r="F26" s="5" t="s">
        <v>1751</v>
      </c>
    </row>
    <row r="27" spans="1:6" ht="27.6">
      <c r="A27" s="5" t="s">
        <v>355</v>
      </c>
      <c r="B27" s="5" t="s">
        <v>356</v>
      </c>
      <c r="C27" s="5" t="s">
        <v>29</v>
      </c>
      <c r="D27" s="5" t="s">
        <v>1735</v>
      </c>
      <c r="E27" s="5">
        <v>2</v>
      </c>
      <c r="F27" s="5" t="s">
        <v>1760</v>
      </c>
    </row>
    <row r="28" spans="1:6" ht="27.6">
      <c r="A28" s="5" t="s">
        <v>355</v>
      </c>
      <c r="B28" s="5" t="s">
        <v>356</v>
      </c>
      <c r="C28" s="5" t="s">
        <v>29</v>
      </c>
      <c r="D28" s="5" t="s">
        <v>1735</v>
      </c>
      <c r="E28" s="5">
        <v>3</v>
      </c>
      <c r="F28" s="5" t="s">
        <v>1761</v>
      </c>
    </row>
    <row r="29" spans="1:6" ht="27.6">
      <c r="A29" s="5" t="s">
        <v>355</v>
      </c>
      <c r="B29" s="5" t="s">
        <v>356</v>
      </c>
      <c r="C29" s="5" t="s">
        <v>29</v>
      </c>
      <c r="D29" s="5" t="s">
        <v>1735</v>
      </c>
      <c r="E29" s="5">
        <v>4</v>
      </c>
      <c r="F29" s="5" t="s">
        <v>1762</v>
      </c>
    </row>
    <row r="30" spans="1:6" ht="27.6">
      <c r="A30" s="5" t="s">
        <v>355</v>
      </c>
      <c r="B30" s="5" t="s">
        <v>356</v>
      </c>
      <c r="C30" s="5" t="s">
        <v>29</v>
      </c>
      <c r="D30" s="5" t="s">
        <v>1739</v>
      </c>
      <c r="E30" s="5">
        <v>1</v>
      </c>
      <c r="F30" s="5" t="s">
        <v>1763</v>
      </c>
    </row>
    <row r="31" spans="1:6" ht="27.6">
      <c r="A31" s="5" t="s">
        <v>355</v>
      </c>
      <c r="B31" s="5" t="s">
        <v>356</v>
      </c>
      <c r="C31" s="5" t="s">
        <v>29</v>
      </c>
      <c r="D31" s="5" t="s">
        <v>1743</v>
      </c>
      <c r="E31" s="5">
        <v>1</v>
      </c>
      <c r="F31" s="5" t="s">
        <v>1764</v>
      </c>
    </row>
    <row r="32" spans="1:6" ht="27.6">
      <c r="A32" s="5" t="s">
        <v>355</v>
      </c>
      <c r="B32" s="5" t="s">
        <v>356</v>
      </c>
      <c r="C32" s="5" t="s">
        <v>29</v>
      </c>
      <c r="D32" s="5" t="s">
        <v>1743</v>
      </c>
      <c r="E32" s="5">
        <v>2</v>
      </c>
      <c r="F32" s="5" t="s">
        <v>1765</v>
      </c>
    </row>
    <row r="33" spans="1:6" ht="27.6">
      <c r="A33" s="5" t="s">
        <v>355</v>
      </c>
      <c r="B33" s="5" t="s">
        <v>356</v>
      </c>
      <c r="C33" s="5" t="s">
        <v>29</v>
      </c>
      <c r="D33" s="5" t="s">
        <v>1743</v>
      </c>
      <c r="E33" s="5">
        <v>3</v>
      </c>
      <c r="F33" s="5" t="s">
        <v>1766</v>
      </c>
    </row>
    <row r="34" spans="1:6" ht="27.6">
      <c r="A34" s="5" t="s">
        <v>355</v>
      </c>
      <c r="B34" s="5" t="s">
        <v>356</v>
      </c>
      <c r="C34" s="5" t="s">
        <v>29</v>
      </c>
      <c r="D34" s="5" t="s">
        <v>1748</v>
      </c>
      <c r="E34" s="5">
        <v>1</v>
      </c>
      <c r="F34" s="5" t="s">
        <v>1767</v>
      </c>
    </row>
    <row r="35" spans="1:6" ht="27.6">
      <c r="A35" s="5" t="s">
        <v>369</v>
      </c>
      <c r="B35" s="5" t="s">
        <v>370</v>
      </c>
      <c r="C35" s="5" t="s">
        <v>29</v>
      </c>
      <c r="D35" s="5" t="s">
        <v>1735</v>
      </c>
      <c r="E35" s="5">
        <v>1</v>
      </c>
      <c r="F35" s="5" t="s">
        <v>1768</v>
      </c>
    </row>
    <row r="36" spans="1:6" ht="27.6">
      <c r="A36" s="5" t="s">
        <v>369</v>
      </c>
      <c r="B36" s="5" t="s">
        <v>370</v>
      </c>
      <c r="C36" s="5" t="s">
        <v>29</v>
      </c>
      <c r="D36" s="5" t="s">
        <v>1735</v>
      </c>
      <c r="E36" s="5">
        <v>2</v>
      </c>
      <c r="F36" s="5" t="s">
        <v>1769</v>
      </c>
    </row>
    <row r="37" spans="1:6" ht="27.6">
      <c r="A37" s="5" t="s">
        <v>369</v>
      </c>
      <c r="B37" s="5" t="s">
        <v>370</v>
      </c>
      <c r="C37" s="5" t="s">
        <v>29</v>
      </c>
      <c r="D37" s="5" t="s">
        <v>1735</v>
      </c>
      <c r="E37" s="5">
        <v>3</v>
      </c>
      <c r="F37" s="5" t="s">
        <v>1770</v>
      </c>
    </row>
    <row r="38" spans="1:6" ht="27.6">
      <c r="A38" s="5" t="s">
        <v>369</v>
      </c>
      <c r="B38" s="5" t="s">
        <v>370</v>
      </c>
      <c r="C38" s="5" t="s">
        <v>29</v>
      </c>
      <c r="D38" s="5" t="s">
        <v>1735</v>
      </c>
      <c r="E38" s="5">
        <v>4</v>
      </c>
      <c r="F38" s="5" t="s">
        <v>1771</v>
      </c>
    </row>
    <row r="39" spans="1:6" ht="27.6">
      <c r="A39" s="5" t="s">
        <v>369</v>
      </c>
      <c r="B39" s="5" t="s">
        <v>370</v>
      </c>
      <c r="C39" s="5" t="s">
        <v>29</v>
      </c>
      <c r="D39" s="5" t="s">
        <v>1735</v>
      </c>
      <c r="E39" s="5">
        <v>5</v>
      </c>
      <c r="F39" s="5" t="s">
        <v>1772</v>
      </c>
    </row>
    <row r="40" spans="1:6" ht="27.6">
      <c r="A40" s="5" t="s">
        <v>369</v>
      </c>
      <c r="B40" s="5" t="s">
        <v>370</v>
      </c>
      <c r="C40" s="5" t="s">
        <v>29</v>
      </c>
      <c r="D40" s="5" t="s">
        <v>1735</v>
      </c>
      <c r="E40" s="5">
        <v>6</v>
      </c>
      <c r="F40" s="5" t="s">
        <v>1773</v>
      </c>
    </row>
    <row r="41" spans="1:6" ht="27.6">
      <c r="A41" s="5" t="s">
        <v>369</v>
      </c>
      <c r="B41" s="5" t="s">
        <v>370</v>
      </c>
      <c r="C41" s="5" t="s">
        <v>29</v>
      </c>
      <c r="D41" s="5" t="s">
        <v>1739</v>
      </c>
      <c r="E41" s="5">
        <v>1</v>
      </c>
      <c r="F41" s="5" t="s">
        <v>1774</v>
      </c>
    </row>
    <row r="42" spans="1:6" ht="27.6">
      <c r="A42" s="5" t="s">
        <v>369</v>
      </c>
      <c r="B42" s="5" t="s">
        <v>370</v>
      </c>
      <c r="C42" s="5" t="s">
        <v>29</v>
      </c>
      <c r="D42" s="5" t="s">
        <v>1739</v>
      </c>
      <c r="E42" s="5">
        <v>2</v>
      </c>
      <c r="F42" s="5" t="s">
        <v>1775</v>
      </c>
    </row>
    <row r="43" spans="1:6" ht="27.6">
      <c r="A43" s="5" t="s">
        <v>369</v>
      </c>
      <c r="B43" s="5" t="s">
        <v>370</v>
      </c>
      <c r="C43" s="5" t="s">
        <v>29</v>
      </c>
      <c r="D43" s="5" t="s">
        <v>1739</v>
      </c>
      <c r="E43" s="5">
        <v>3</v>
      </c>
      <c r="F43" s="5" t="s">
        <v>1589</v>
      </c>
    </row>
    <row r="44" spans="1:6" ht="27.6">
      <c r="A44" s="5" t="s">
        <v>369</v>
      </c>
      <c r="B44" s="5" t="s">
        <v>370</v>
      </c>
      <c r="C44" s="5" t="s">
        <v>29</v>
      </c>
      <c r="D44" s="5" t="s">
        <v>1739</v>
      </c>
      <c r="E44" s="5">
        <v>4</v>
      </c>
      <c r="F44" s="5" t="s">
        <v>1776</v>
      </c>
    </row>
    <row r="45" spans="1:6" ht="27.6">
      <c r="A45" s="5" t="s">
        <v>369</v>
      </c>
      <c r="B45" s="5" t="s">
        <v>370</v>
      </c>
      <c r="C45" s="5" t="s">
        <v>29</v>
      </c>
      <c r="D45" s="5" t="s">
        <v>1739</v>
      </c>
      <c r="E45" s="5">
        <v>5</v>
      </c>
      <c r="F45" s="5" t="s">
        <v>1777</v>
      </c>
    </row>
    <row r="46" spans="1:6" ht="27.6">
      <c r="A46" s="5" t="s">
        <v>369</v>
      </c>
      <c r="B46" s="5" t="s">
        <v>370</v>
      </c>
      <c r="C46" s="5" t="s">
        <v>29</v>
      </c>
      <c r="D46" s="5" t="s">
        <v>1743</v>
      </c>
      <c r="E46" s="5">
        <v>1</v>
      </c>
      <c r="F46" s="5" t="s">
        <v>1778</v>
      </c>
    </row>
    <row r="47" spans="1:6" ht="27.6">
      <c r="A47" s="5" t="s">
        <v>369</v>
      </c>
      <c r="B47" s="5" t="s">
        <v>370</v>
      </c>
      <c r="C47" s="5" t="s">
        <v>29</v>
      </c>
      <c r="D47" s="5" t="s">
        <v>1748</v>
      </c>
      <c r="E47" s="5">
        <v>1</v>
      </c>
      <c r="F47" s="5" t="s">
        <v>1779</v>
      </c>
    </row>
    <row r="48" spans="1:6" ht="27.6">
      <c r="A48" s="5" t="s">
        <v>383</v>
      </c>
      <c r="B48" s="5" t="s">
        <v>384</v>
      </c>
      <c r="C48" s="5" t="s">
        <v>29</v>
      </c>
      <c r="D48" s="5" t="s">
        <v>1735</v>
      </c>
      <c r="E48" s="5">
        <v>1</v>
      </c>
      <c r="F48" s="5" t="s">
        <v>1780</v>
      </c>
    </row>
    <row r="49" spans="1:6" ht="27.6">
      <c r="A49" s="5" t="s">
        <v>383</v>
      </c>
      <c r="B49" s="5" t="s">
        <v>384</v>
      </c>
      <c r="C49" s="5" t="s">
        <v>29</v>
      </c>
      <c r="D49" s="5" t="s">
        <v>1735</v>
      </c>
      <c r="E49" s="5">
        <v>2</v>
      </c>
      <c r="F49" s="5" t="s">
        <v>1781</v>
      </c>
    </row>
    <row r="50" spans="1:6" ht="27.6">
      <c r="A50" s="5" t="s">
        <v>383</v>
      </c>
      <c r="B50" s="5" t="s">
        <v>384</v>
      </c>
      <c r="C50" s="5" t="s">
        <v>29</v>
      </c>
      <c r="D50" s="5" t="s">
        <v>1735</v>
      </c>
      <c r="E50" s="5">
        <v>3</v>
      </c>
      <c r="F50" s="5" t="s">
        <v>1782</v>
      </c>
    </row>
    <row r="51" spans="1:6" ht="27.6">
      <c r="A51" s="5" t="s">
        <v>383</v>
      </c>
      <c r="B51" s="5" t="s">
        <v>384</v>
      </c>
      <c r="C51" s="5" t="s">
        <v>29</v>
      </c>
      <c r="D51" s="5" t="s">
        <v>1735</v>
      </c>
      <c r="E51" s="5">
        <v>4</v>
      </c>
      <c r="F51" s="5" t="s">
        <v>1783</v>
      </c>
    </row>
    <row r="52" spans="1:6" ht="27.6">
      <c r="A52" s="5" t="s">
        <v>383</v>
      </c>
      <c r="B52" s="5" t="s">
        <v>384</v>
      </c>
      <c r="C52" s="5" t="s">
        <v>29</v>
      </c>
      <c r="D52" s="5" t="s">
        <v>1735</v>
      </c>
      <c r="E52" s="5">
        <v>5</v>
      </c>
      <c r="F52" s="5" t="s">
        <v>1784</v>
      </c>
    </row>
    <row r="53" spans="1:6" ht="27.6">
      <c r="A53" s="5" t="s">
        <v>383</v>
      </c>
      <c r="B53" s="5" t="s">
        <v>384</v>
      </c>
      <c r="C53" s="5" t="s">
        <v>29</v>
      </c>
      <c r="D53" s="5" t="s">
        <v>1739</v>
      </c>
      <c r="E53" s="5">
        <v>1</v>
      </c>
      <c r="F53" s="5" t="s">
        <v>1785</v>
      </c>
    </row>
    <row r="54" spans="1:6" ht="27.6">
      <c r="A54" s="5" t="s">
        <v>383</v>
      </c>
      <c r="B54" s="5" t="s">
        <v>384</v>
      </c>
      <c r="C54" s="5" t="s">
        <v>29</v>
      </c>
      <c r="D54" s="5" t="s">
        <v>1743</v>
      </c>
      <c r="E54" s="5">
        <v>1</v>
      </c>
      <c r="F54" s="5" t="s">
        <v>1786</v>
      </c>
    </row>
    <row r="55" spans="1:6" ht="27.6">
      <c r="A55" s="5" t="s">
        <v>383</v>
      </c>
      <c r="B55" s="5" t="s">
        <v>384</v>
      </c>
      <c r="C55" s="5" t="s">
        <v>29</v>
      </c>
      <c r="D55" s="5" t="s">
        <v>1743</v>
      </c>
      <c r="E55" s="5">
        <v>2</v>
      </c>
      <c r="F55" s="5" t="s">
        <v>1787</v>
      </c>
    </row>
    <row r="56" spans="1:6" ht="27.6">
      <c r="A56" s="5" t="s">
        <v>383</v>
      </c>
      <c r="B56" s="5" t="s">
        <v>384</v>
      </c>
      <c r="C56" s="5" t="s">
        <v>29</v>
      </c>
      <c r="D56" s="5" t="s">
        <v>1748</v>
      </c>
      <c r="E56" s="5">
        <v>1</v>
      </c>
      <c r="F56" s="5" t="s">
        <v>1788</v>
      </c>
    </row>
    <row r="57" spans="1:6" ht="27.6">
      <c r="A57" s="5" t="s">
        <v>383</v>
      </c>
      <c r="B57" s="5" t="s">
        <v>384</v>
      </c>
      <c r="C57" s="5" t="s">
        <v>29</v>
      </c>
      <c r="D57" s="5" t="s">
        <v>1748</v>
      </c>
      <c r="E57" s="5">
        <v>2</v>
      </c>
      <c r="F57" s="5" t="s">
        <v>1789</v>
      </c>
    </row>
    <row r="58" spans="1:6" ht="27.6">
      <c r="A58" s="5" t="s">
        <v>397</v>
      </c>
      <c r="B58" s="5" t="s">
        <v>398</v>
      </c>
      <c r="C58" s="5" t="s">
        <v>29</v>
      </c>
      <c r="D58" s="5" t="s">
        <v>1735</v>
      </c>
      <c r="E58" s="5">
        <v>1</v>
      </c>
      <c r="F58" s="5" t="s">
        <v>1790</v>
      </c>
    </row>
    <row r="59" spans="1:6" ht="27.6">
      <c r="A59" s="5" t="s">
        <v>397</v>
      </c>
      <c r="B59" s="5" t="s">
        <v>398</v>
      </c>
      <c r="C59" s="5" t="s">
        <v>29</v>
      </c>
      <c r="D59" s="5" t="s">
        <v>1735</v>
      </c>
      <c r="E59" s="5">
        <v>2</v>
      </c>
      <c r="F59" s="5" t="s">
        <v>1791</v>
      </c>
    </row>
    <row r="60" spans="1:6" ht="27.6">
      <c r="A60" s="5" t="s">
        <v>397</v>
      </c>
      <c r="B60" s="5" t="s">
        <v>398</v>
      </c>
      <c r="C60" s="5" t="s">
        <v>29</v>
      </c>
      <c r="D60" s="5" t="s">
        <v>1735</v>
      </c>
      <c r="E60" s="5">
        <v>3</v>
      </c>
      <c r="F60" s="5" t="s">
        <v>1792</v>
      </c>
    </row>
    <row r="61" spans="1:6" ht="27.6">
      <c r="A61" s="5" t="s">
        <v>397</v>
      </c>
      <c r="B61" s="5" t="s">
        <v>398</v>
      </c>
      <c r="C61" s="5" t="s">
        <v>29</v>
      </c>
      <c r="D61" s="5" t="s">
        <v>1735</v>
      </c>
      <c r="E61" s="5">
        <v>4</v>
      </c>
      <c r="F61" s="5" t="s">
        <v>1793</v>
      </c>
    </row>
    <row r="62" spans="1:6" ht="27.6">
      <c r="A62" s="5" t="s">
        <v>397</v>
      </c>
      <c r="B62" s="5" t="s">
        <v>398</v>
      </c>
      <c r="C62" s="5" t="s">
        <v>29</v>
      </c>
      <c r="D62" s="5" t="s">
        <v>1735</v>
      </c>
      <c r="E62" s="5">
        <v>5</v>
      </c>
      <c r="F62" s="5" t="s">
        <v>1794</v>
      </c>
    </row>
    <row r="63" spans="1:6" ht="27.6">
      <c r="A63" s="5" t="s">
        <v>397</v>
      </c>
      <c r="B63" s="5" t="s">
        <v>398</v>
      </c>
      <c r="C63" s="5" t="s">
        <v>29</v>
      </c>
      <c r="D63" s="5" t="s">
        <v>1739</v>
      </c>
      <c r="E63" s="5">
        <v>1</v>
      </c>
      <c r="F63" s="5" t="s">
        <v>1795</v>
      </c>
    </row>
    <row r="64" spans="1:6" ht="27.6">
      <c r="A64" s="5" t="s">
        <v>397</v>
      </c>
      <c r="B64" s="5" t="s">
        <v>398</v>
      </c>
      <c r="C64" s="5" t="s">
        <v>29</v>
      </c>
      <c r="D64" s="5" t="s">
        <v>1739</v>
      </c>
      <c r="E64" s="5">
        <v>2</v>
      </c>
      <c r="F64" s="5" t="s">
        <v>1796</v>
      </c>
    </row>
    <row r="65" spans="1:6" ht="27.6">
      <c r="A65" s="5" t="s">
        <v>397</v>
      </c>
      <c r="B65" s="5" t="s">
        <v>398</v>
      </c>
      <c r="C65" s="5" t="s">
        <v>29</v>
      </c>
      <c r="D65" s="5" t="s">
        <v>1739</v>
      </c>
      <c r="E65" s="5">
        <v>3</v>
      </c>
      <c r="F65" s="5" t="s">
        <v>1797</v>
      </c>
    </row>
    <row r="66" spans="1:6" ht="27.6">
      <c r="A66" s="5" t="s">
        <v>397</v>
      </c>
      <c r="B66" s="5" t="s">
        <v>398</v>
      </c>
      <c r="C66" s="5" t="s">
        <v>29</v>
      </c>
      <c r="D66" s="5" t="s">
        <v>1743</v>
      </c>
      <c r="E66" s="5">
        <v>1</v>
      </c>
      <c r="F66" s="5" t="s">
        <v>1798</v>
      </c>
    </row>
    <row r="67" spans="1:6" ht="27.6">
      <c r="A67" s="5" t="s">
        <v>397</v>
      </c>
      <c r="B67" s="5" t="s">
        <v>398</v>
      </c>
      <c r="C67" s="5" t="s">
        <v>29</v>
      </c>
      <c r="D67" s="5" t="s">
        <v>1743</v>
      </c>
      <c r="E67" s="5">
        <v>2</v>
      </c>
      <c r="F67" s="5" t="s">
        <v>1799</v>
      </c>
    </row>
    <row r="68" spans="1:6" ht="27.6">
      <c r="A68" s="5" t="s">
        <v>397</v>
      </c>
      <c r="B68" s="5" t="s">
        <v>398</v>
      </c>
      <c r="C68" s="5" t="s">
        <v>29</v>
      </c>
      <c r="D68" s="5" t="s">
        <v>1743</v>
      </c>
      <c r="E68" s="5">
        <v>3</v>
      </c>
      <c r="F68" s="5" t="s">
        <v>1800</v>
      </c>
    </row>
    <row r="69" spans="1:6" ht="27.6">
      <c r="A69" s="5" t="s">
        <v>397</v>
      </c>
      <c r="B69" s="5" t="s">
        <v>398</v>
      </c>
      <c r="C69" s="5" t="s">
        <v>29</v>
      </c>
      <c r="D69" s="5" t="s">
        <v>1748</v>
      </c>
      <c r="E69" s="5">
        <v>1</v>
      </c>
      <c r="F69" s="5" t="s">
        <v>1801</v>
      </c>
    </row>
    <row r="70" spans="1:6" ht="27.6">
      <c r="A70" s="5" t="s">
        <v>411</v>
      </c>
      <c r="B70" s="5" t="s">
        <v>412</v>
      </c>
      <c r="C70" s="5" t="s">
        <v>29</v>
      </c>
      <c r="D70" s="5" t="s">
        <v>1735</v>
      </c>
      <c r="E70" s="5">
        <v>1</v>
      </c>
      <c r="F70" s="5" t="s">
        <v>1790</v>
      </c>
    </row>
    <row r="71" spans="1:6" ht="27.6">
      <c r="A71" s="5" t="s">
        <v>411</v>
      </c>
      <c r="B71" s="5" t="s">
        <v>412</v>
      </c>
      <c r="C71" s="5" t="s">
        <v>29</v>
      </c>
      <c r="D71" s="5" t="s">
        <v>1735</v>
      </c>
      <c r="E71" s="5">
        <v>2</v>
      </c>
      <c r="F71" s="5" t="s">
        <v>1802</v>
      </c>
    </row>
    <row r="72" spans="1:6" ht="27.6">
      <c r="A72" s="5" t="s">
        <v>411</v>
      </c>
      <c r="B72" s="5" t="s">
        <v>412</v>
      </c>
      <c r="C72" s="5" t="s">
        <v>29</v>
      </c>
      <c r="D72" s="5" t="s">
        <v>1735</v>
      </c>
      <c r="E72" s="5">
        <v>3</v>
      </c>
      <c r="F72" s="5" t="s">
        <v>1803</v>
      </c>
    </row>
    <row r="73" spans="1:6" ht="27.6">
      <c r="A73" s="5" t="s">
        <v>411</v>
      </c>
      <c r="B73" s="5" t="s">
        <v>412</v>
      </c>
      <c r="C73" s="5" t="s">
        <v>29</v>
      </c>
      <c r="D73" s="5" t="s">
        <v>1735</v>
      </c>
      <c r="E73" s="5">
        <v>4</v>
      </c>
      <c r="F73" s="5" t="s">
        <v>1804</v>
      </c>
    </row>
    <row r="74" spans="1:6" ht="27.6">
      <c r="A74" s="5" t="s">
        <v>411</v>
      </c>
      <c r="B74" s="5" t="s">
        <v>412</v>
      </c>
      <c r="C74" s="5" t="s">
        <v>29</v>
      </c>
      <c r="D74" s="5" t="s">
        <v>1739</v>
      </c>
      <c r="E74" s="5">
        <v>1</v>
      </c>
      <c r="F74" s="5" t="s">
        <v>1805</v>
      </c>
    </row>
    <row r="75" spans="1:6" ht="27.6">
      <c r="A75" s="5" t="s">
        <v>411</v>
      </c>
      <c r="B75" s="5" t="s">
        <v>412</v>
      </c>
      <c r="C75" s="5" t="s">
        <v>29</v>
      </c>
      <c r="D75" s="5" t="s">
        <v>1739</v>
      </c>
      <c r="E75" s="5">
        <v>2</v>
      </c>
      <c r="F75" s="5" t="s">
        <v>1806</v>
      </c>
    </row>
    <row r="76" spans="1:6" ht="27.6">
      <c r="A76" s="5" t="s">
        <v>411</v>
      </c>
      <c r="B76" s="5" t="s">
        <v>412</v>
      </c>
      <c r="C76" s="5" t="s">
        <v>29</v>
      </c>
      <c r="D76" s="5" t="s">
        <v>1743</v>
      </c>
      <c r="E76" s="5">
        <v>1</v>
      </c>
      <c r="F76" s="5" t="s">
        <v>1807</v>
      </c>
    </row>
    <row r="77" spans="1:6" ht="27.6">
      <c r="A77" s="5" t="s">
        <v>411</v>
      </c>
      <c r="B77" s="5" t="s">
        <v>412</v>
      </c>
      <c r="C77" s="5" t="s">
        <v>29</v>
      </c>
      <c r="D77" s="5" t="s">
        <v>1743</v>
      </c>
      <c r="E77" s="5">
        <v>2</v>
      </c>
      <c r="F77" s="5" t="s">
        <v>1808</v>
      </c>
    </row>
    <row r="78" spans="1:6" ht="27.6">
      <c r="A78" s="5" t="s">
        <v>411</v>
      </c>
      <c r="B78" s="5" t="s">
        <v>412</v>
      </c>
      <c r="C78" s="5" t="s">
        <v>29</v>
      </c>
      <c r="D78" s="5" t="s">
        <v>1743</v>
      </c>
      <c r="E78" s="5">
        <v>3</v>
      </c>
      <c r="F78" s="5" t="s">
        <v>1809</v>
      </c>
    </row>
    <row r="79" spans="1:6" ht="27.6">
      <c r="A79" s="5" t="s">
        <v>411</v>
      </c>
      <c r="B79" s="5" t="s">
        <v>412</v>
      </c>
      <c r="C79" s="5" t="s">
        <v>29</v>
      </c>
      <c r="D79" s="5" t="s">
        <v>1748</v>
      </c>
      <c r="E79" s="5">
        <v>1</v>
      </c>
      <c r="F79" s="5" t="s">
        <v>1810</v>
      </c>
    </row>
    <row r="80" spans="1:6" ht="27.6">
      <c r="A80" s="5" t="s">
        <v>411</v>
      </c>
      <c r="B80" s="5" t="s">
        <v>412</v>
      </c>
      <c r="C80" s="5" t="s">
        <v>29</v>
      </c>
      <c r="D80" s="5" t="s">
        <v>1748</v>
      </c>
      <c r="E80" s="5">
        <v>2</v>
      </c>
      <c r="F80" s="5" t="s">
        <v>1811</v>
      </c>
    </row>
    <row r="81" spans="1:6" ht="27.6">
      <c r="A81" s="5" t="s">
        <v>425</v>
      </c>
      <c r="B81" s="5" t="s">
        <v>426</v>
      </c>
      <c r="C81" s="5" t="s">
        <v>29</v>
      </c>
      <c r="D81" s="5" t="s">
        <v>1735</v>
      </c>
      <c r="E81" s="5">
        <v>1</v>
      </c>
      <c r="F81" s="5" t="s">
        <v>1812</v>
      </c>
    </row>
    <row r="82" spans="1:6" ht="27.6">
      <c r="A82" s="5" t="s">
        <v>425</v>
      </c>
      <c r="B82" s="5" t="s">
        <v>426</v>
      </c>
      <c r="C82" s="5" t="s">
        <v>29</v>
      </c>
      <c r="D82" s="5" t="s">
        <v>1735</v>
      </c>
      <c r="E82" s="5">
        <v>2</v>
      </c>
      <c r="F82" s="5" t="s">
        <v>1813</v>
      </c>
    </row>
    <row r="83" spans="1:6" ht="27.6">
      <c r="A83" s="5" t="s">
        <v>425</v>
      </c>
      <c r="B83" s="5" t="s">
        <v>426</v>
      </c>
      <c r="C83" s="5" t="s">
        <v>29</v>
      </c>
      <c r="D83" s="5" t="s">
        <v>1735</v>
      </c>
      <c r="E83" s="5">
        <v>3</v>
      </c>
      <c r="F83" s="5" t="s">
        <v>1814</v>
      </c>
    </row>
    <row r="84" spans="1:6" ht="27.6">
      <c r="A84" s="5" t="s">
        <v>425</v>
      </c>
      <c r="B84" s="5" t="s">
        <v>426</v>
      </c>
      <c r="C84" s="5" t="s">
        <v>29</v>
      </c>
      <c r="D84" s="5" t="s">
        <v>1735</v>
      </c>
      <c r="E84" s="5">
        <v>4</v>
      </c>
      <c r="F84" s="5" t="s">
        <v>1815</v>
      </c>
    </row>
    <row r="85" spans="1:6" ht="27.6">
      <c r="A85" s="5" t="s">
        <v>425</v>
      </c>
      <c r="B85" s="5" t="s">
        <v>426</v>
      </c>
      <c r="C85" s="5" t="s">
        <v>29</v>
      </c>
      <c r="D85" s="5" t="s">
        <v>1735</v>
      </c>
      <c r="E85" s="5">
        <v>5</v>
      </c>
      <c r="F85" s="5" t="s">
        <v>1784</v>
      </c>
    </row>
    <row r="86" spans="1:6" ht="27.6">
      <c r="A86" s="5" t="s">
        <v>425</v>
      </c>
      <c r="B86" s="5" t="s">
        <v>426</v>
      </c>
      <c r="C86" s="5" t="s">
        <v>29</v>
      </c>
      <c r="D86" s="5" t="s">
        <v>1735</v>
      </c>
      <c r="E86" s="5">
        <v>6</v>
      </c>
      <c r="F86" s="5" t="s">
        <v>1816</v>
      </c>
    </row>
    <row r="87" spans="1:6" ht="27.6">
      <c r="A87" s="5" t="s">
        <v>425</v>
      </c>
      <c r="B87" s="5" t="s">
        <v>426</v>
      </c>
      <c r="C87" s="5" t="s">
        <v>29</v>
      </c>
      <c r="D87" s="5" t="s">
        <v>1739</v>
      </c>
      <c r="E87" s="5">
        <v>1</v>
      </c>
      <c r="F87" s="5" t="s">
        <v>1817</v>
      </c>
    </row>
    <row r="88" spans="1:6" ht="27.6">
      <c r="A88" s="5" t="s">
        <v>425</v>
      </c>
      <c r="B88" s="5" t="s">
        <v>426</v>
      </c>
      <c r="C88" s="5" t="s">
        <v>29</v>
      </c>
      <c r="D88" s="5" t="s">
        <v>1739</v>
      </c>
      <c r="E88" s="5">
        <v>2</v>
      </c>
      <c r="F88" s="5" t="s">
        <v>1818</v>
      </c>
    </row>
    <row r="89" spans="1:6" ht="27.6">
      <c r="A89" s="5" t="s">
        <v>425</v>
      </c>
      <c r="B89" s="5" t="s">
        <v>426</v>
      </c>
      <c r="C89" s="5" t="s">
        <v>29</v>
      </c>
      <c r="D89" s="5" t="s">
        <v>1739</v>
      </c>
      <c r="E89" s="5">
        <v>3</v>
      </c>
      <c r="F89" s="5" t="s">
        <v>1819</v>
      </c>
    </row>
    <row r="90" spans="1:6" ht="27.6">
      <c r="A90" s="5" t="s">
        <v>425</v>
      </c>
      <c r="B90" s="5" t="s">
        <v>426</v>
      </c>
      <c r="C90" s="5" t="s">
        <v>29</v>
      </c>
      <c r="D90" s="5" t="s">
        <v>1743</v>
      </c>
      <c r="E90" s="5">
        <v>1</v>
      </c>
      <c r="F90" s="5" t="s">
        <v>1820</v>
      </c>
    </row>
    <row r="91" spans="1:6" ht="27.6">
      <c r="A91" s="5" t="s">
        <v>425</v>
      </c>
      <c r="B91" s="5" t="s">
        <v>426</v>
      </c>
      <c r="C91" s="5" t="s">
        <v>29</v>
      </c>
      <c r="D91" s="5" t="s">
        <v>1743</v>
      </c>
      <c r="E91" s="5">
        <v>2</v>
      </c>
      <c r="F91" s="5" t="s">
        <v>1821</v>
      </c>
    </row>
    <row r="92" spans="1:6" ht="27.6">
      <c r="A92" s="5" t="s">
        <v>425</v>
      </c>
      <c r="B92" s="5" t="s">
        <v>426</v>
      </c>
      <c r="C92" s="5" t="s">
        <v>29</v>
      </c>
      <c r="D92" s="5" t="s">
        <v>1748</v>
      </c>
      <c r="E92" s="5">
        <v>1</v>
      </c>
      <c r="F92" s="5" t="s">
        <v>1822</v>
      </c>
    </row>
    <row r="93" spans="1:6" ht="27.6">
      <c r="A93" s="5" t="s">
        <v>439</v>
      </c>
      <c r="B93" s="5" t="s">
        <v>440</v>
      </c>
      <c r="C93" s="5" t="s">
        <v>29</v>
      </c>
      <c r="D93" s="5" t="s">
        <v>1735</v>
      </c>
      <c r="E93" s="5">
        <v>1</v>
      </c>
      <c r="F93" s="5" t="s">
        <v>1823</v>
      </c>
    </row>
    <row r="94" spans="1:6" ht="27.6">
      <c r="A94" s="5" t="s">
        <v>439</v>
      </c>
      <c r="B94" s="5" t="s">
        <v>440</v>
      </c>
      <c r="C94" s="5" t="s">
        <v>29</v>
      </c>
      <c r="D94" s="5" t="s">
        <v>1735</v>
      </c>
      <c r="E94" s="5">
        <v>2</v>
      </c>
      <c r="F94" s="5" t="s">
        <v>1824</v>
      </c>
    </row>
    <row r="95" spans="1:6" ht="27.6">
      <c r="A95" s="5" t="s">
        <v>439</v>
      </c>
      <c r="B95" s="5" t="s">
        <v>440</v>
      </c>
      <c r="C95" s="5" t="s">
        <v>29</v>
      </c>
      <c r="D95" s="5" t="s">
        <v>1735</v>
      </c>
      <c r="E95" s="5">
        <v>3</v>
      </c>
      <c r="F95" s="5" t="s">
        <v>1825</v>
      </c>
    </row>
    <row r="96" spans="1:6" ht="27.6">
      <c r="A96" s="5" t="s">
        <v>439</v>
      </c>
      <c r="B96" s="5" t="s">
        <v>440</v>
      </c>
      <c r="C96" s="5" t="s">
        <v>29</v>
      </c>
      <c r="D96" s="5" t="s">
        <v>1739</v>
      </c>
      <c r="E96" s="5">
        <v>1</v>
      </c>
      <c r="F96" s="5" t="s">
        <v>1826</v>
      </c>
    </row>
    <row r="97" spans="1:6" ht="27.6">
      <c r="A97" s="5" t="s">
        <v>439</v>
      </c>
      <c r="B97" s="5" t="s">
        <v>440</v>
      </c>
      <c r="C97" s="5" t="s">
        <v>29</v>
      </c>
      <c r="D97" s="5" t="s">
        <v>1743</v>
      </c>
      <c r="E97" s="5">
        <v>1</v>
      </c>
      <c r="F97" s="5" t="s">
        <v>1827</v>
      </c>
    </row>
    <row r="98" spans="1:6" ht="27.6">
      <c r="A98" s="5" t="s">
        <v>439</v>
      </c>
      <c r="B98" s="5" t="s">
        <v>440</v>
      </c>
      <c r="C98" s="5" t="s">
        <v>29</v>
      </c>
      <c r="D98" s="5" t="s">
        <v>1748</v>
      </c>
      <c r="E98" s="5">
        <v>1</v>
      </c>
      <c r="F98" s="5" t="s">
        <v>1828</v>
      </c>
    </row>
    <row r="99" spans="1:6" ht="27.6">
      <c r="A99" s="5" t="s">
        <v>453</v>
      </c>
      <c r="B99" s="5" t="s">
        <v>104</v>
      </c>
      <c r="C99" s="5" t="s">
        <v>29</v>
      </c>
      <c r="D99" s="5" t="s">
        <v>1735</v>
      </c>
      <c r="E99" s="5">
        <v>1</v>
      </c>
      <c r="F99" s="5" t="s">
        <v>1829</v>
      </c>
    </row>
    <row r="100" spans="1:6" ht="27.6">
      <c r="A100" s="5" t="s">
        <v>453</v>
      </c>
      <c r="B100" s="5" t="s">
        <v>104</v>
      </c>
      <c r="C100" s="5" t="s">
        <v>29</v>
      </c>
      <c r="D100" s="5" t="s">
        <v>1735</v>
      </c>
      <c r="E100" s="5">
        <v>2</v>
      </c>
      <c r="F100" s="5" t="s">
        <v>1830</v>
      </c>
    </row>
    <row r="101" spans="1:6" ht="27.6">
      <c r="A101" s="5" t="s">
        <v>453</v>
      </c>
      <c r="B101" s="5" t="s">
        <v>104</v>
      </c>
      <c r="C101" s="5" t="s">
        <v>29</v>
      </c>
      <c r="D101" s="5" t="s">
        <v>1735</v>
      </c>
      <c r="E101" s="5">
        <v>3</v>
      </c>
      <c r="F101" s="5" t="s">
        <v>1804</v>
      </c>
    </row>
    <row r="102" spans="1:6" ht="27.6">
      <c r="A102" s="5" t="s">
        <v>453</v>
      </c>
      <c r="B102" s="5" t="s">
        <v>104</v>
      </c>
      <c r="C102" s="5" t="s">
        <v>29</v>
      </c>
      <c r="D102" s="5" t="s">
        <v>1739</v>
      </c>
      <c r="E102" s="5">
        <v>1</v>
      </c>
      <c r="F102" s="5" t="s">
        <v>1831</v>
      </c>
    </row>
    <row r="103" spans="1:6" ht="27.6">
      <c r="A103" s="5" t="s">
        <v>453</v>
      </c>
      <c r="B103" s="5" t="s">
        <v>104</v>
      </c>
      <c r="C103" s="5" t="s">
        <v>29</v>
      </c>
      <c r="D103" s="5" t="s">
        <v>1743</v>
      </c>
      <c r="E103" s="5">
        <v>1</v>
      </c>
      <c r="F103" s="5" t="s">
        <v>1832</v>
      </c>
    </row>
    <row r="104" spans="1:6" ht="27.6">
      <c r="A104" s="5" t="s">
        <v>453</v>
      </c>
      <c r="B104" s="5" t="s">
        <v>104</v>
      </c>
      <c r="C104" s="5" t="s">
        <v>29</v>
      </c>
      <c r="D104" s="5" t="s">
        <v>1743</v>
      </c>
      <c r="E104" s="5">
        <v>2</v>
      </c>
      <c r="F104" s="5" t="s">
        <v>1833</v>
      </c>
    </row>
    <row r="105" spans="1:6" ht="27.6">
      <c r="A105" s="5" t="s">
        <v>453</v>
      </c>
      <c r="B105" s="5" t="s">
        <v>104</v>
      </c>
      <c r="C105" s="5" t="s">
        <v>29</v>
      </c>
      <c r="D105" s="5" t="s">
        <v>1748</v>
      </c>
      <c r="E105" s="5">
        <v>1</v>
      </c>
      <c r="F105" s="5" t="s">
        <v>1834</v>
      </c>
    </row>
    <row r="106" spans="1:6" ht="27.6">
      <c r="A106" s="5" t="s">
        <v>466</v>
      </c>
      <c r="B106" s="5" t="s">
        <v>467</v>
      </c>
      <c r="C106" s="5" t="s">
        <v>29</v>
      </c>
      <c r="D106" s="5" t="s">
        <v>1735</v>
      </c>
      <c r="E106" s="5">
        <v>1</v>
      </c>
      <c r="F106" s="5" t="s">
        <v>1770</v>
      </c>
    </row>
    <row r="107" spans="1:6" ht="27.6">
      <c r="A107" s="5" t="s">
        <v>466</v>
      </c>
      <c r="B107" s="5" t="s">
        <v>467</v>
      </c>
      <c r="C107" s="5" t="s">
        <v>29</v>
      </c>
      <c r="D107" s="5" t="s">
        <v>1735</v>
      </c>
      <c r="E107" s="5">
        <v>2</v>
      </c>
      <c r="F107" s="5" t="s">
        <v>1835</v>
      </c>
    </row>
    <row r="108" spans="1:6" ht="27.6">
      <c r="A108" s="5" t="s">
        <v>466</v>
      </c>
      <c r="B108" s="5" t="s">
        <v>467</v>
      </c>
      <c r="C108" s="5" t="s">
        <v>29</v>
      </c>
      <c r="D108" s="5" t="s">
        <v>1735</v>
      </c>
      <c r="E108" s="5">
        <v>3</v>
      </c>
      <c r="F108" s="5" t="s">
        <v>1836</v>
      </c>
    </row>
    <row r="109" spans="1:6" ht="27.6">
      <c r="A109" s="5" t="s">
        <v>466</v>
      </c>
      <c r="B109" s="5" t="s">
        <v>467</v>
      </c>
      <c r="C109" s="5" t="s">
        <v>29</v>
      </c>
      <c r="D109" s="5" t="s">
        <v>1735</v>
      </c>
      <c r="E109" s="5">
        <v>4</v>
      </c>
      <c r="F109" s="5" t="s">
        <v>1837</v>
      </c>
    </row>
    <row r="110" spans="1:6" ht="27.6">
      <c r="A110" s="5" t="s">
        <v>466</v>
      </c>
      <c r="B110" s="5" t="s">
        <v>467</v>
      </c>
      <c r="C110" s="5" t="s">
        <v>29</v>
      </c>
      <c r="D110" s="5" t="s">
        <v>1735</v>
      </c>
      <c r="E110" s="5">
        <v>5</v>
      </c>
      <c r="F110" s="5" t="s">
        <v>1838</v>
      </c>
    </row>
    <row r="111" spans="1:6" ht="27.6">
      <c r="A111" s="5" t="s">
        <v>466</v>
      </c>
      <c r="B111" s="5" t="s">
        <v>467</v>
      </c>
      <c r="C111" s="5" t="s">
        <v>29</v>
      </c>
      <c r="D111" s="5" t="s">
        <v>1739</v>
      </c>
      <c r="E111" s="5">
        <v>1</v>
      </c>
      <c r="F111" s="5" t="s">
        <v>1839</v>
      </c>
    </row>
    <row r="112" spans="1:6" ht="27.6">
      <c r="A112" s="5" t="s">
        <v>466</v>
      </c>
      <c r="B112" s="5" t="s">
        <v>467</v>
      </c>
      <c r="C112" s="5" t="s">
        <v>29</v>
      </c>
      <c r="D112" s="5" t="s">
        <v>1739</v>
      </c>
      <c r="E112" s="5">
        <v>2</v>
      </c>
      <c r="F112" s="5" t="s">
        <v>1840</v>
      </c>
    </row>
    <row r="113" spans="1:6" ht="27.6">
      <c r="A113" s="5" t="s">
        <v>466</v>
      </c>
      <c r="B113" s="5" t="s">
        <v>467</v>
      </c>
      <c r="C113" s="5" t="s">
        <v>29</v>
      </c>
      <c r="D113" s="5" t="s">
        <v>1739</v>
      </c>
      <c r="E113" s="5">
        <v>3</v>
      </c>
      <c r="F113" s="5" t="s">
        <v>1841</v>
      </c>
    </row>
    <row r="114" spans="1:6" ht="27.6">
      <c r="A114" s="5" t="s">
        <v>466</v>
      </c>
      <c r="B114" s="5" t="s">
        <v>467</v>
      </c>
      <c r="C114" s="5" t="s">
        <v>29</v>
      </c>
      <c r="D114" s="5" t="s">
        <v>1739</v>
      </c>
      <c r="E114" s="5">
        <v>4</v>
      </c>
      <c r="F114" s="5" t="s">
        <v>1842</v>
      </c>
    </row>
    <row r="115" spans="1:6" ht="27.6">
      <c r="A115" s="5" t="s">
        <v>466</v>
      </c>
      <c r="B115" s="5" t="s">
        <v>467</v>
      </c>
      <c r="C115" s="5" t="s">
        <v>29</v>
      </c>
      <c r="D115" s="5" t="s">
        <v>1739</v>
      </c>
      <c r="E115" s="5">
        <v>5</v>
      </c>
      <c r="F115" s="5" t="s">
        <v>1843</v>
      </c>
    </row>
    <row r="116" spans="1:6" ht="27.6">
      <c r="A116" s="5" t="s">
        <v>466</v>
      </c>
      <c r="B116" s="5" t="s">
        <v>467</v>
      </c>
      <c r="C116" s="5" t="s">
        <v>29</v>
      </c>
      <c r="D116" s="5" t="s">
        <v>1743</v>
      </c>
      <c r="E116" s="5">
        <v>1</v>
      </c>
      <c r="F116" s="5" t="s">
        <v>1844</v>
      </c>
    </row>
    <row r="117" spans="1:6" ht="27.6">
      <c r="A117" s="5" t="s">
        <v>466</v>
      </c>
      <c r="B117" s="5" t="s">
        <v>467</v>
      </c>
      <c r="C117" s="5" t="s">
        <v>29</v>
      </c>
      <c r="D117" s="5" t="s">
        <v>1743</v>
      </c>
      <c r="E117" s="5">
        <v>2</v>
      </c>
      <c r="F117" s="5" t="s">
        <v>1845</v>
      </c>
    </row>
    <row r="118" spans="1:6" ht="27.6">
      <c r="A118" s="5" t="s">
        <v>466</v>
      </c>
      <c r="B118" s="5" t="s">
        <v>467</v>
      </c>
      <c r="C118" s="5" t="s">
        <v>29</v>
      </c>
      <c r="D118" s="5" t="s">
        <v>1748</v>
      </c>
      <c r="E118" s="5">
        <v>1</v>
      </c>
      <c r="F118" s="5" t="s">
        <v>1846</v>
      </c>
    </row>
    <row r="119" spans="1:6" ht="27.6">
      <c r="A119" s="5" t="s">
        <v>466</v>
      </c>
      <c r="B119" s="5" t="s">
        <v>467</v>
      </c>
      <c r="C119" s="5" t="s">
        <v>29</v>
      </c>
      <c r="D119" s="5" t="s">
        <v>1748</v>
      </c>
      <c r="E119" s="5">
        <v>2</v>
      </c>
      <c r="F119" s="5" t="s">
        <v>1847</v>
      </c>
    </row>
    <row r="120" spans="1:6" ht="27.6">
      <c r="A120" s="5" t="s">
        <v>466</v>
      </c>
      <c r="B120" s="5" t="s">
        <v>467</v>
      </c>
      <c r="C120" s="5" t="s">
        <v>29</v>
      </c>
      <c r="D120" s="5" t="s">
        <v>1748</v>
      </c>
      <c r="E120" s="5">
        <v>3</v>
      </c>
      <c r="F120" s="5" t="s">
        <v>1848</v>
      </c>
    </row>
    <row r="121" spans="1:6" ht="27.6">
      <c r="A121" s="5" t="s">
        <v>480</v>
      </c>
      <c r="B121" s="5" t="s">
        <v>185</v>
      </c>
      <c r="C121" s="5" t="s">
        <v>29</v>
      </c>
      <c r="D121" s="5" t="s">
        <v>1735</v>
      </c>
      <c r="E121" s="5">
        <v>1</v>
      </c>
      <c r="F121" s="5" t="s">
        <v>1849</v>
      </c>
    </row>
    <row r="122" spans="1:6" ht="27.6">
      <c r="A122" s="5" t="s">
        <v>480</v>
      </c>
      <c r="B122" s="5" t="s">
        <v>185</v>
      </c>
      <c r="C122" s="5" t="s">
        <v>29</v>
      </c>
      <c r="D122" s="5" t="s">
        <v>1735</v>
      </c>
      <c r="E122" s="5">
        <v>2</v>
      </c>
      <c r="F122" s="5" t="s">
        <v>1850</v>
      </c>
    </row>
    <row r="123" spans="1:6" ht="27.6">
      <c r="A123" s="5" t="s">
        <v>480</v>
      </c>
      <c r="B123" s="5" t="s">
        <v>185</v>
      </c>
      <c r="C123" s="5" t="s">
        <v>29</v>
      </c>
      <c r="D123" s="5" t="s">
        <v>1735</v>
      </c>
      <c r="E123" s="5">
        <v>3</v>
      </c>
      <c r="F123" s="5" t="s">
        <v>1771</v>
      </c>
    </row>
    <row r="124" spans="1:6" ht="27.6">
      <c r="A124" s="5" t="s">
        <v>480</v>
      </c>
      <c r="B124" s="5" t="s">
        <v>185</v>
      </c>
      <c r="C124" s="5" t="s">
        <v>29</v>
      </c>
      <c r="D124" s="5" t="s">
        <v>1735</v>
      </c>
      <c r="E124" s="5">
        <v>4</v>
      </c>
      <c r="F124" s="5" t="s">
        <v>1851</v>
      </c>
    </row>
    <row r="125" spans="1:6" ht="27.6">
      <c r="A125" s="5" t="s">
        <v>480</v>
      </c>
      <c r="B125" s="5" t="s">
        <v>185</v>
      </c>
      <c r="C125" s="5" t="s">
        <v>29</v>
      </c>
      <c r="D125" s="5" t="s">
        <v>1739</v>
      </c>
      <c r="E125" s="5">
        <v>1</v>
      </c>
      <c r="F125" s="5" t="s">
        <v>1852</v>
      </c>
    </row>
    <row r="126" spans="1:6" ht="27.6">
      <c r="A126" s="5" t="s">
        <v>480</v>
      </c>
      <c r="B126" s="5" t="s">
        <v>185</v>
      </c>
      <c r="C126" s="5" t="s">
        <v>29</v>
      </c>
      <c r="D126" s="5" t="s">
        <v>1739</v>
      </c>
      <c r="E126" s="5">
        <v>2</v>
      </c>
      <c r="F126" s="5" t="s">
        <v>1489</v>
      </c>
    </row>
    <row r="127" spans="1:6" ht="27.6">
      <c r="A127" s="5" t="s">
        <v>480</v>
      </c>
      <c r="B127" s="5" t="s">
        <v>185</v>
      </c>
      <c r="C127" s="5" t="s">
        <v>29</v>
      </c>
      <c r="D127" s="5" t="s">
        <v>1739</v>
      </c>
      <c r="E127" s="5">
        <v>3</v>
      </c>
      <c r="F127" s="5" t="s">
        <v>1853</v>
      </c>
    </row>
    <row r="128" spans="1:6" ht="27.6">
      <c r="A128" s="5" t="s">
        <v>480</v>
      </c>
      <c r="B128" s="5" t="s">
        <v>185</v>
      </c>
      <c r="C128" s="5" t="s">
        <v>29</v>
      </c>
      <c r="D128" s="5" t="s">
        <v>1739</v>
      </c>
      <c r="E128" s="5">
        <v>4</v>
      </c>
      <c r="F128" s="5" t="s">
        <v>1840</v>
      </c>
    </row>
    <row r="129" spans="1:6" ht="27.6">
      <c r="A129" s="5" t="s">
        <v>480</v>
      </c>
      <c r="B129" s="5" t="s">
        <v>185</v>
      </c>
      <c r="C129" s="5" t="s">
        <v>29</v>
      </c>
      <c r="D129" s="5" t="s">
        <v>1743</v>
      </c>
      <c r="E129" s="5">
        <v>1</v>
      </c>
      <c r="F129" s="5" t="s">
        <v>1854</v>
      </c>
    </row>
    <row r="130" spans="1:6" ht="27.6">
      <c r="A130" s="5" t="s">
        <v>480</v>
      </c>
      <c r="B130" s="5" t="s">
        <v>185</v>
      </c>
      <c r="C130" s="5" t="s">
        <v>29</v>
      </c>
      <c r="D130" s="5" t="s">
        <v>1748</v>
      </c>
      <c r="E130" s="5">
        <v>1</v>
      </c>
      <c r="F130" s="5" t="s">
        <v>1855</v>
      </c>
    </row>
    <row r="131" spans="1:6" ht="27.6">
      <c r="A131" s="5" t="s">
        <v>480</v>
      </c>
      <c r="B131" s="5" t="s">
        <v>185</v>
      </c>
      <c r="C131" s="5" t="s">
        <v>29</v>
      </c>
      <c r="D131" s="5" t="s">
        <v>1748</v>
      </c>
      <c r="E131" s="5">
        <v>2</v>
      </c>
      <c r="F131" s="5" t="s">
        <v>1856</v>
      </c>
    </row>
    <row r="132" spans="1:6" ht="27.6">
      <c r="A132" s="5" t="s">
        <v>493</v>
      </c>
      <c r="B132" s="5" t="s">
        <v>494</v>
      </c>
      <c r="C132" s="5" t="s">
        <v>29</v>
      </c>
      <c r="D132" s="5" t="s">
        <v>1735</v>
      </c>
      <c r="E132" s="5">
        <v>1</v>
      </c>
      <c r="F132" s="5" t="s">
        <v>1857</v>
      </c>
    </row>
    <row r="133" spans="1:6" ht="27.6">
      <c r="A133" s="5" t="s">
        <v>493</v>
      </c>
      <c r="B133" s="5" t="s">
        <v>494</v>
      </c>
      <c r="C133" s="5" t="s">
        <v>29</v>
      </c>
      <c r="D133" s="5" t="s">
        <v>1735</v>
      </c>
      <c r="E133" s="5">
        <v>2</v>
      </c>
      <c r="F133" s="5" t="s">
        <v>1858</v>
      </c>
    </row>
    <row r="134" spans="1:6" ht="27.6">
      <c r="A134" s="5" t="s">
        <v>493</v>
      </c>
      <c r="B134" s="5" t="s">
        <v>494</v>
      </c>
      <c r="C134" s="5" t="s">
        <v>29</v>
      </c>
      <c r="D134" s="5" t="s">
        <v>1735</v>
      </c>
      <c r="E134" s="5">
        <v>3</v>
      </c>
      <c r="F134" s="5" t="s">
        <v>1768</v>
      </c>
    </row>
    <row r="135" spans="1:6" ht="27.6">
      <c r="A135" s="5" t="s">
        <v>493</v>
      </c>
      <c r="B135" s="5" t="s">
        <v>494</v>
      </c>
      <c r="C135" s="5" t="s">
        <v>29</v>
      </c>
      <c r="D135" s="5" t="s">
        <v>1735</v>
      </c>
      <c r="E135" s="5">
        <v>4</v>
      </c>
      <c r="F135" s="5" t="s">
        <v>1859</v>
      </c>
    </row>
    <row r="136" spans="1:6" ht="27.6">
      <c r="A136" s="5" t="s">
        <v>493</v>
      </c>
      <c r="B136" s="5" t="s">
        <v>494</v>
      </c>
      <c r="C136" s="5" t="s">
        <v>29</v>
      </c>
      <c r="D136" s="5" t="s">
        <v>1739</v>
      </c>
      <c r="E136" s="5">
        <v>1</v>
      </c>
      <c r="F136" s="5" t="s">
        <v>1860</v>
      </c>
    </row>
    <row r="137" spans="1:6" ht="27.6">
      <c r="A137" s="5" t="s">
        <v>493</v>
      </c>
      <c r="B137" s="5" t="s">
        <v>494</v>
      </c>
      <c r="C137" s="5" t="s">
        <v>29</v>
      </c>
      <c r="D137" s="5" t="s">
        <v>1739</v>
      </c>
      <c r="E137" s="5">
        <v>2</v>
      </c>
      <c r="F137" s="5" t="s">
        <v>1861</v>
      </c>
    </row>
    <row r="138" spans="1:6" ht="27.6">
      <c r="A138" s="5" t="s">
        <v>493</v>
      </c>
      <c r="B138" s="5" t="s">
        <v>494</v>
      </c>
      <c r="C138" s="5" t="s">
        <v>29</v>
      </c>
      <c r="D138" s="5" t="s">
        <v>1739</v>
      </c>
      <c r="E138" s="5">
        <v>3</v>
      </c>
      <c r="F138" s="5" t="s">
        <v>1862</v>
      </c>
    </row>
    <row r="139" spans="1:6" ht="27.6">
      <c r="A139" s="5" t="s">
        <v>493</v>
      </c>
      <c r="B139" s="5" t="s">
        <v>494</v>
      </c>
      <c r="C139" s="5" t="s">
        <v>29</v>
      </c>
      <c r="D139" s="5" t="s">
        <v>1739</v>
      </c>
      <c r="E139" s="5">
        <v>4</v>
      </c>
      <c r="F139" s="5" t="s">
        <v>1777</v>
      </c>
    </row>
    <row r="140" spans="1:6" ht="27.6">
      <c r="A140" s="5" t="s">
        <v>493</v>
      </c>
      <c r="B140" s="5" t="s">
        <v>494</v>
      </c>
      <c r="C140" s="5" t="s">
        <v>29</v>
      </c>
      <c r="D140" s="5" t="s">
        <v>1739</v>
      </c>
      <c r="E140" s="5">
        <v>5</v>
      </c>
      <c r="F140" s="5" t="s">
        <v>1863</v>
      </c>
    </row>
    <row r="141" spans="1:6" ht="27.6">
      <c r="A141" s="5" t="s">
        <v>493</v>
      </c>
      <c r="B141" s="5" t="s">
        <v>494</v>
      </c>
      <c r="C141" s="5" t="s">
        <v>29</v>
      </c>
      <c r="D141" s="5" t="s">
        <v>1743</v>
      </c>
      <c r="E141" s="5">
        <v>1</v>
      </c>
      <c r="F141" s="5" t="s">
        <v>1864</v>
      </c>
    </row>
    <row r="142" spans="1:6" ht="27.6">
      <c r="A142" s="5" t="s">
        <v>493</v>
      </c>
      <c r="B142" s="5" t="s">
        <v>494</v>
      </c>
      <c r="C142" s="5" t="s">
        <v>29</v>
      </c>
      <c r="D142" s="5" t="s">
        <v>1743</v>
      </c>
      <c r="E142" s="5">
        <v>2</v>
      </c>
      <c r="F142" s="5" t="s">
        <v>1865</v>
      </c>
    </row>
    <row r="143" spans="1:6" ht="27.6">
      <c r="A143" s="5" t="s">
        <v>493</v>
      </c>
      <c r="B143" s="5" t="s">
        <v>494</v>
      </c>
      <c r="C143" s="5" t="s">
        <v>29</v>
      </c>
      <c r="D143" s="5" t="s">
        <v>1748</v>
      </c>
      <c r="E143" s="5">
        <v>1</v>
      </c>
      <c r="F143" s="5" t="s">
        <v>1866</v>
      </c>
    </row>
    <row r="144" spans="1:6" ht="27.6">
      <c r="A144" s="5" t="s">
        <v>493</v>
      </c>
      <c r="B144" s="5" t="s">
        <v>494</v>
      </c>
      <c r="C144" s="5" t="s">
        <v>29</v>
      </c>
      <c r="D144" s="5" t="s">
        <v>1748</v>
      </c>
      <c r="E144" s="5">
        <v>2</v>
      </c>
      <c r="F144" s="5" t="s">
        <v>1867</v>
      </c>
    </row>
    <row r="145" spans="1:6" ht="27.6">
      <c r="A145" s="5" t="s">
        <v>493</v>
      </c>
      <c r="B145" s="5" t="s">
        <v>494</v>
      </c>
      <c r="C145" s="5" t="s">
        <v>29</v>
      </c>
      <c r="D145" s="5" t="s">
        <v>1748</v>
      </c>
      <c r="E145" s="5">
        <v>3</v>
      </c>
      <c r="F145" s="5" t="s">
        <v>1868</v>
      </c>
    </row>
    <row r="146" spans="1:6" ht="27.6">
      <c r="A146" s="5" t="s">
        <v>507</v>
      </c>
      <c r="B146" s="5" t="s">
        <v>508</v>
      </c>
      <c r="C146" s="5" t="s">
        <v>29</v>
      </c>
      <c r="D146" s="5" t="s">
        <v>1735</v>
      </c>
      <c r="E146" s="5">
        <v>1</v>
      </c>
      <c r="F146" s="5" t="s">
        <v>1869</v>
      </c>
    </row>
    <row r="147" spans="1:6" ht="27.6">
      <c r="A147" s="5" t="s">
        <v>507</v>
      </c>
      <c r="B147" s="5" t="s">
        <v>508</v>
      </c>
      <c r="C147" s="5" t="s">
        <v>29</v>
      </c>
      <c r="D147" s="5" t="s">
        <v>1735</v>
      </c>
      <c r="E147" s="5">
        <v>2</v>
      </c>
      <c r="F147" s="5" t="s">
        <v>1870</v>
      </c>
    </row>
    <row r="148" spans="1:6" ht="27.6">
      <c r="A148" s="5" t="s">
        <v>507</v>
      </c>
      <c r="B148" s="5" t="s">
        <v>508</v>
      </c>
      <c r="C148" s="5" t="s">
        <v>29</v>
      </c>
      <c r="D148" s="5" t="s">
        <v>1735</v>
      </c>
      <c r="E148" s="5">
        <v>3</v>
      </c>
      <c r="F148" s="5" t="s">
        <v>1871</v>
      </c>
    </row>
    <row r="149" spans="1:6" ht="27.6">
      <c r="A149" s="5" t="s">
        <v>507</v>
      </c>
      <c r="B149" s="5" t="s">
        <v>508</v>
      </c>
      <c r="C149" s="5" t="s">
        <v>29</v>
      </c>
      <c r="D149" s="5" t="s">
        <v>1735</v>
      </c>
      <c r="E149" s="5">
        <v>4</v>
      </c>
      <c r="F149" s="5" t="s">
        <v>1872</v>
      </c>
    </row>
    <row r="150" spans="1:6" ht="27.6">
      <c r="A150" s="5" t="s">
        <v>507</v>
      </c>
      <c r="B150" s="5" t="s">
        <v>508</v>
      </c>
      <c r="C150" s="5" t="s">
        <v>29</v>
      </c>
      <c r="D150" s="5" t="s">
        <v>1735</v>
      </c>
      <c r="E150" s="5">
        <v>5</v>
      </c>
      <c r="F150" s="5" t="s">
        <v>1873</v>
      </c>
    </row>
    <row r="151" spans="1:6" ht="27.6">
      <c r="A151" s="5" t="s">
        <v>507</v>
      </c>
      <c r="B151" s="5" t="s">
        <v>508</v>
      </c>
      <c r="C151" s="5" t="s">
        <v>29</v>
      </c>
      <c r="D151" s="5" t="s">
        <v>1739</v>
      </c>
      <c r="E151" s="5">
        <v>1</v>
      </c>
      <c r="F151" s="5" t="s">
        <v>1874</v>
      </c>
    </row>
    <row r="152" spans="1:6" ht="27.6">
      <c r="A152" s="5" t="s">
        <v>507</v>
      </c>
      <c r="B152" s="5" t="s">
        <v>508</v>
      </c>
      <c r="C152" s="5" t="s">
        <v>29</v>
      </c>
      <c r="D152" s="5" t="s">
        <v>1739</v>
      </c>
      <c r="E152" s="5">
        <v>2</v>
      </c>
      <c r="F152" s="5" t="s">
        <v>1875</v>
      </c>
    </row>
    <row r="153" spans="1:6" ht="27.6">
      <c r="A153" s="5" t="s">
        <v>507</v>
      </c>
      <c r="B153" s="5" t="s">
        <v>508</v>
      </c>
      <c r="C153" s="5" t="s">
        <v>29</v>
      </c>
      <c r="D153" s="5" t="s">
        <v>1739</v>
      </c>
      <c r="E153" s="5">
        <v>3</v>
      </c>
      <c r="F153" s="5" t="s">
        <v>1876</v>
      </c>
    </row>
    <row r="154" spans="1:6" ht="27.6">
      <c r="A154" s="5" t="s">
        <v>507</v>
      </c>
      <c r="B154" s="5" t="s">
        <v>508</v>
      </c>
      <c r="C154" s="5" t="s">
        <v>29</v>
      </c>
      <c r="D154" s="5" t="s">
        <v>1743</v>
      </c>
      <c r="E154" s="5">
        <v>1</v>
      </c>
      <c r="F154" s="5" t="s">
        <v>1877</v>
      </c>
    </row>
    <row r="155" spans="1:6" ht="27.6">
      <c r="A155" s="5" t="s">
        <v>507</v>
      </c>
      <c r="B155" s="5" t="s">
        <v>508</v>
      </c>
      <c r="C155" s="5" t="s">
        <v>29</v>
      </c>
      <c r="D155" s="5" t="s">
        <v>1743</v>
      </c>
      <c r="E155" s="5">
        <v>2</v>
      </c>
      <c r="F155" s="5" t="s">
        <v>1878</v>
      </c>
    </row>
    <row r="156" spans="1:6" ht="27.6">
      <c r="A156" s="5" t="s">
        <v>507</v>
      </c>
      <c r="B156" s="5" t="s">
        <v>508</v>
      </c>
      <c r="C156" s="5" t="s">
        <v>29</v>
      </c>
      <c r="D156" s="5" t="s">
        <v>1748</v>
      </c>
      <c r="E156" s="5">
        <v>1</v>
      </c>
      <c r="F156" s="5" t="s">
        <v>1879</v>
      </c>
    </row>
    <row r="157" spans="1:6" ht="27.6">
      <c r="A157" s="5" t="s">
        <v>507</v>
      </c>
      <c r="B157" s="5" t="s">
        <v>508</v>
      </c>
      <c r="C157" s="5" t="s">
        <v>29</v>
      </c>
      <c r="D157" s="5" t="s">
        <v>1748</v>
      </c>
      <c r="E157" s="5">
        <v>2</v>
      </c>
      <c r="F157" s="5" t="s">
        <v>1880</v>
      </c>
    </row>
    <row r="158" spans="1:6" ht="27.6">
      <c r="A158" s="5" t="s">
        <v>521</v>
      </c>
      <c r="B158" s="5" t="s">
        <v>522</v>
      </c>
      <c r="C158" s="5" t="s">
        <v>29</v>
      </c>
      <c r="D158" s="5" t="s">
        <v>1735</v>
      </c>
      <c r="E158" s="5">
        <v>1</v>
      </c>
      <c r="F158" s="5" t="s">
        <v>1881</v>
      </c>
    </row>
    <row r="159" spans="1:6" ht="27.6">
      <c r="A159" s="5" t="s">
        <v>521</v>
      </c>
      <c r="B159" s="5" t="s">
        <v>522</v>
      </c>
      <c r="C159" s="5" t="s">
        <v>29</v>
      </c>
      <c r="D159" s="5" t="s">
        <v>1735</v>
      </c>
      <c r="E159" s="5">
        <v>2</v>
      </c>
      <c r="F159" s="5" t="s">
        <v>1882</v>
      </c>
    </row>
    <row r="160" spans="1:6" ht="27.6">
      <c r="A160" s="5" t="s">
        <v>521</v>
      </c>
      <c r="B160" s="5" t="s">
        <v>522</v>
      </c>
      <c r="C160" s="5" t="s">
        <v>29</v>
      </c>
      <c r="D160" s="5" t="s">
        <v>1735</v>
      </c>
      <c r="E160" s="5">
        <v>3</v>
      </c>
      <c r="F160" s="5" t="s">
        <v>1883</v>
      </c>
    </row>
    <row r="161" spans="1:6" ht="27.6">
      <c r="A161" s="5" t="s">
        <v>521</v>
      </c>
      <c r="B161" s="5" t="s">
        <v>522</v>
      </c>
      <c r="C161" s="5" t="s">
        <v>29</v>
      </c>
      <c r="D161" s="5" t="s">
        <v>1735</v>
      </c>
      <c r="E161" s="5">
        <v>4</v>
      </c>
      <c r="F161" s="5" t="s">
        <v>1884</v>
      </c>
    </row>
    <row r="162" spans="1:6" ht="27.6">
      <c r="A162" s="5" t="s">
        <v>521</v>
      </c>
      <c r="B162" s="5" t="s">
        <v>522</v>
      </c>
      <c r="C162" s="5" t="s">
        <v>29</v>
      </c>
      <c r="D162" s="5" t="s">
        <v>1739</v>
      </c>
      <c r="E162" s="5">
        <v>1</v>
      </c>
      <c r="F162" s="5" t="s">
        <v>1885</v>
      </c>
    </row>
    <row r="163" spans="1:6" ht="27.6">
      <c r="A163" s="5" t="s">
        <v>521</v>
      </c>
      <c r="B163" s="5" t="s">
        <v>522</v>
      </c>
      <c r="C163" s="5" t="s">
        <v>29</v>
      </c>
      <c r="D163" s="5" t="s">
        <v>1739</v>
      </c>
      <c r="E163" s="5">
        <v>2</v>
      </c>
      <c r="F163" s="5" t="s">
        <v>1517</v>
      </c>
    </row>
    <row r="164" spans="1:6" ht="27.6">
      <c r="A164" s="5" t="s">
        <v>521</v>
      </c>
      <c r="B164" s="5" t="s">
        <v>522</v>
      </c>
      <c r="C164" s="5" t="s">
        <v>29</v>
      </c>
      <c r="D164" s="5" t="s">
        <v>1739</v>
      </c>
      <c r="E164" s="5">
        <v>3</v>
      </c>
      <c r="F164" s="5" t="s">
        <v>1886</v>
      </c>
    </row>
    <row r="165" spans="1:6" ht="27.6">
      <c r="A165" s="5" t="s">
        <v>521</v>
      </c>
      <c r="B165" s="5" t="s">
        <v>522</v>
      </c>
      <c r="C165" s="5" t="s">
        <v>29</v>
      </c>
      <c r="D165" s="5" t="s">
        <v>1739</v>
      </c>
      <c r="E165" s="5">
        <v>4</v>
      </c>
      <c r="F165" s="5" t="s">
        <v>1887</v>
      </c>
    </row>
    <row r="166" spans="1:6" ht="27.6">
      <c r="A166" s="5" t="s">
        <v>521</v>
      </c>
      <c r="B166" s="5" t="s">
        <v>522</v>
      </c>
      <c r="C166" s="5" t="s">
        <v>29</v>
      </c>
      <c r="D166" s="5" t="s">
        <v>1743</v>
      </c>
      <c r="E166" s="5">
        <v>1</v>
      </c>
      <c r="F166" s="5" t="s">
        <v>1888</v>
      </c>
    </row>
    <row r="167" spans="1:6" ht="27.6">
      <c r="A167" s="5" t="s">
        <v>521</v>
      </c>
      <c r="B167" s="5" t="s">
        <v>522</v>
      </c>
      <c r="C167" s="5" t="s">
        <v>29</v>
      </c>
      <c r="D167" s="5" t="s">
        <v>1743</v>
      </c>
      <c r="E167" s="5">
        <v>2</v>
      </c>
      <c r="F167" s="5" t="s">
        <v>1889</v>
      </c>
    </row>
    <row r="168" spans="1:6" ht="27.6">
      <c r="A168" s="5" t="s">
        <v>521</v>
      </c>
      <c r="B168" s="5" t="s">
        <v>522</v>
      </c>
      <c r="C168" s="5" t="s">
        <v>29</v>
      </c>
      <c r="D168" s="5" t="s">
        <v>1743</v>
      </c>
      <c r="E168" s="5">
        <v>3</v>
      </c>
      <c r="F168" s="5" t="s">
        <v>1890</v>
      </c>
    </row>
    <row r="169" spans="1:6" ht="27.6">
      <c r="A169" s="5" t="s">
        <v>521</v>
      </c>
      <c r="B169" s="5" t="s">
        <v>522</v>
      </c>
      <c r="C169" s="5" t="s">
        <v>29</v>
      </c>
      <c r="D169" s="5" t="s">
        <v>1748</v>
      </c>
      <c r="E169" s="5">
        <v>1</v>
      </c>
      <c r="F169" s="5" t="s">
        <v>1891</v>
      </c>
    </row>
    <row r="170" spans="1:6" ht="27.6">
      <c r="A170" s="5" t="s">
        <v>521</v>
      </c>
      <c r="B170" s="5" t="s">
        <v>522</v>
      </c>
      <c r="C170" s="5" t="s">
        <v>29</v>
      </c>
      <c r="D170" s="5" t="s">
        <v>1748</v>
      </c>
      <c r="E170" s="5">
        <v>2</v>
      </c>
      <c r="F170" s="5" t="s">
        <v>1892</v>
      </c>
    </row>
    <row r="171" spans="1:6" ht="27.6">
      <c r="A171" s="5" t="s">
        <v>535</v>
      </c>
      <c r="B171" s="5" t="s">
        <v>536</v>
      </c>
      <c r="C171" s="5" t="s">
        <v>29</v>
      </c>
      <c r="D171" s="5" t="s">
        <v>1735</v>
      </c>
      <c r="E171" s="5">
        <v>1</v>
      </c>
      <c r="F171" s="5" t="s">
        <v>1893</v>
      </c>
    </row>
    <row r="172" spans="1:6" ht="27.6">
      <c r="A172" s="5" t="s">
        <v>535</v>
      </c>
      <c r="B172" s="5" t="s">
        <v>536</v>
      </c>
      <c r="C172" s="5" t="s">
        <v>29</v>
      </c>
      <c r="D172" s="5" t="s">
        <v>1735</v>
      </c>
      <c r="E172" s="5">
        <v>2</v>
      </c>
      <c r="F172" s="5" t="s">
        <v>1857</v>
      </c>
    </row>
    <row r="173" spans="1:6" ht="27.6">
      <c r="A173" s="5" t="s">
        <v>535</v>
      </c>
      <c r="B173" s="5" t="s">
        <v>536</v>
      </c>
      <c r="C173" s="5" t="s">
        <v>29</v>
      </c>
      <c r="D173" s="5" t="s">
        <v>1735</v>
      </c>
      <c r="E173" s="5">
        <v>3</v>
      </c>
      <c r="F173" s="5" t="s">
        <v>1894</v>
      </c>
    </row>
    <row r="174" spans="1:6" ht="27.6">
      <c r="A174" s="5" t="s">
        <v>535</v>
      </c>
      <c r="B174" s="5" t="s">
        <v>536</v>
      </c>
      <c r="C174" s="5" t="s">
        <v>29</v>
      </c>
      <c r="D174" s="5" t="s">
        <v>1735</v>
      </c>
      <c r="E174" s="5">
        <v>4</v>
      </c>
      <c r="F174" s="5" t="s">
        <v>1895</v>
      </c>
    </row>
    <row r="175" spans="1:6" ht="27.6">
      <c r="A175" s="5" t="s">
        <v>535</v>
      </c>
      <c r="B175" s="5" t="s">
        <v>536</v>
      </c>
      <c r="C175" s="5" t="s">
        <v>29</v>
      </c>
      <c r="D175" s="5" t="s">
        <v>1735</v>
      </c>
      <c r="E175" s="5">
        <v>5</v>
      </c>
      <c r="F175" s="5" t="s">
        <v>1784</v>
      </c>
    </row>
    <row r="176" spans="1:6" ht="27.6">
      <c r="A176" s="5" t="s">
        <v>535</v>
      </c>
      <c r="B176" s="5" t="s">
        <v>536</v>
      </c>
      <c r="C176" s="5" t="s">
        <v>29</v>
      </c>
      <c r="D176" s="5" t="s">
        <v>1739</v>
      </c>
      <c r="E176" s="5">
        <v>1</v>
      </c>
      <c r="F176" s="5" t="s">
        <v>1896</v>
      </c>
    </row>
    <row r="177" spans="1:6" ht="27.6">
      <c r="A177" s="5" t="s">
        <v>535</v>
      </c>
      <c r="B177" s="5" t="s">
        <v>536</v>
      </c>
      <c r="C177" s="5" t="s">
        <v>29</v>
      </c>
      <c r="D177" s="5" t="s">
        <v>1739</v>
      </c>
      <c r="E177" s="5">
        <v>2</v>
      </c>
      <c r="F177" s="5" t="s">
        <v>1897</v>
      </c>
    </row>
    <row r="178" spans="1:6" ht="27.6">
      <c r="A178" s="5" t="s">
        <v>535</v>
      </c>
      <c r="B178" s="5" t="s">
        <v>536</v>
      </c>
      <c r="C178" s="5" t="s">
        <v>29</v>
      </c>
      <c r="D178" s="5" t="s">
        <v>1739</v>
      </c>
      <c r="E178" s="5">
        <v>3</v>
      </c>
      <c r="F178" s="5" t="s">
        <v>1898</v>
      </c>
    </row>
    <row r="179" spans="1:6" ht="27.6">
      <c r="A179" s="5" t="s">
        <v>535</v>
      </c>
      <c r="B179" s="5" t="s">
        <v>536</v>
      </c>
      <c r="C179" s="5" t="s">
        <v>29</v>
      </c>
      <c r="D179" s="5" t="s">
        <v>1739</v>
      </c>
      <c r="E179" s="5">
        <v>4</v>
      </c>
      <c r="F179" s="5" t="s">
        <v>1555</v>
      </c>
    </row>
    <row r="180" spans="1:6" ht="27.6">
      <c r="A180" s="5" t="s">
        <v>535</v>
      </c>
      <c r="B180" s="5" t="s">
        <v>536</v>
      </c>
      <c r="C180" s="5" t="s">
        <v>29</v>
      </c>
      <c r="D180" s="5" t="s">
        <v>1743</v>
      </c>
      <c r="E180" s="5">
        <v>1</v>
      </c>
      <c r="F180" s="5" t="s">
        <v>1899</v>
      </c>
    </row>
    <row r="181" spans="1:6" ht="27.6">
      <c r="A181" s="5" t="s">
        <v>535</v>
      </c>
      <c r="B181" s="5" t="s">
        <v>536</v>
      </c>
      <c r="C181" s="5" t="s">
        <v>29</v>
      </c>
      <c r="D181" s="5" t="s">
        <v>1743</v>
      </c>
      <c r="E181" s="5">
        <v>2</v>
      </c>
      <c r="F181" s="5" t="s">
        <v>1900</v>
      </c>
    </row>
    <row r="182" spans="1:6" ht="27.6">
      <c r="A182" s="5" t="s">
        <v>535</v>
      </c>
      <c r="B182" s="5" t="s">
        <v>536</v>
      </c>
      <c r="C182" s="5" t="s">
        <v>29</v>
      </c>
      <c r="D182" s="5" t="s">
        <v>1743</v>
      </c>
      <c r="E182" s="5">
        <v>3</v>
      </c>
      <c r="F182" s="5" t="s">
        <v>1901</v>
      </c>
    </row>
    <row r="183" spans="1:6" ht="27.6">
      <c r="A183" s="5" t="s">
        <v>535</v>
      </c>
      <c r="B183" s="5" t="s">
        <v>536</v>
      </c>
      <c r="C183" s="5" t="s">
        <v>29</v>
      </c>
      <c r="D183" s="5" t="s">
        <v>1748</v>
      </c>
      <c r="E183" s="5">
        <v>1</v>
      </c>
      <c r="F183" s="5" t="s">
        <v>1902</v>
      </c>
    </row>
    <row r="184" spans="1:6" ht="27.6">
      <c r="A184" s="5" t="s">
        <v>535</v>
      </c>
      <c r="B184" s="5" t="s">
        <v>536</v>
      </c>
      <c r="C184" s="5" t="s">
        <v>29</v>
      </c>
      <c r="D184" s="5" t="s">
        <v>1748</v>
      </c>
      <c r="E184" s="5">
        <v>2</v>
      </c>
      <c r="F184" s="5" t="s">
        <v>1903</v>
      </c>
    </row>
    <row r="185" spans="1:6" ht="27.6">
      <c r="A185" s="5" t="s">
        <v>549</v>
      </c>
      <c r="B185" s="5" t="s">
        <v>269</v>
      </c>
      <c r="C185" s="5" t="s">
        <v>29</v>
      </c>
      <c r="D185" s="5" t="s">
        <v>1735</v>
      </c>
      <c r="E185" s="5">
        <v>1</v>
      </c>
      <c r="F185" s="5" t="s">
        <v>1904</v>
      </c>
    </row>
    <row r="186" spans="1:6" ht="27.6">
      <c r="A186" s="5" t="s">
        <v>549</v>
      </c>
      <c r="B186" s="5" t="s">
        <v>269</v>
      </c>
      <c r="C186" s="5" t="s">
        <v>29</v>
      </c>
      <c r="D186" s="5" t="s">
        <v>1735</v>
      </c>
      <c r="E186" s="5">
        <v>2</v>
      </c>
      <c r="F186" s="5" t="s">
        <v>1905</v>
      </c>
    </row>
    <row r="187" spans="1:6" ht="27.6">
      <c r="A187" s="5" t="s">
        <v>549</v>
      </c>
      <c r="B187" s="5" t="s">
        <v>269</v>
      </c>
      <c r="C187" s="5" t="s">
        <v>29</v>
      </c>
      <c r="D187" s="5" t="s">
        <v>1735</v>
      </c>
      <c r="E187" s="5">
        <v>3</v>
      </c>
      <c r="F187" s="5" t="s">
        <v>1906</v>
      </c>
    </row>
    <row r="188" spans="1:6" ht="27.6">
      <c r="A188" s="5" t="s">
        <v>549</v>
      </c>
      <c r="B188" s="5" t="s">
        <v>269</v>
      </c>
      <c r="C188" s="5" t="s">
        <v>29</v>
      </c>
      <c r="D188" s="5" t="s">
        <v>1735</v>
      </c>
      <c r="E188" s="5">
        <v>4</v>
      </c>
      <c r="F188" s="5" t="s">
        <v>1793</v>
      </c>
    </row>
    <row r="189" spans="1:6" ht="27.6">
      <c r="A189" s="5" t="s">
        <v>549</v>
      </c>
      <c r="B189" s="5" t="s">
        <v>269</v>
      </c>
      <c r="C189" s="5" t="s">
        <v>29</v>
      </c>
      <c r="D189" s="5" t="s">
        <v>1735</v>
      </c>
      <c r="E189" s="5">
        <v>5</v>
      </c>
      <c r="F189" s="5" t="s">
        <v>1907</v>
      </c>
    </row>
    <row r="190" spans="1:6" ht="27.6">
      <c r="A190" s="5" t="s">
        <v>549</v>
      </c>
      <c r="B190" s="5" t="s">
        <v>269</v>
      </c>
      <c r="C190" s="5" t="s">
        <v>29</v>
      </c>
      <c r="D190" s="5" t="s">
        <v>1739</v>
      </c>
      <c r="E190" s="5">
        <v>1</v>
      </c>
      <c r="F190" s="5" t="s">
        <v>1908</v>
      </c>
    </row>
    <row r="191" spans="1:6" ht="27.6">
      <c r="A191" s="5" t="s">
        <v>549</v>
      </c>
      <c r="B191" s="5" t="s">
        <v>269</v>
      </c>
      <c r="C191" s="5" t="s">
        <v>29</v>
      </c>
      <c r="D191" s="5" t="s">
        <v>1739</v>
      </c>
      <c r="E191" s="5">
        <v>2</v>
      </c>
      <c r="F191" s="5" t="s">
        <v>1909</v>
      </c>
    </row>
    <row r="192" spans="1:6" ht="27.6">
      <c r="A192" s="5" t="s">
        <v>549</v>
      </c>
      <c r="B192" s="5" t="s">
        <v>269</v>
      </c>
      <c r="C192" s="5" t="s">
        <v>29</v>
      </c>
      <c r="D192" s="5" t="s">
        <v>1739</v>
      </c>
      <c r="E192" s="5">
        <v>3</v>
      </c>
      <c r="F192" s="5" t="s">
        <v>1910</v>
      </c>
    </row>
    <row r="193" spans="1:6" ht="27.6">
      <c r="A193" s="5" t="s">
        <v>549</v>
      </c>
      <c r="B193" s="5" t="s">
        <v>269</v>
      </c>
      <c r="C193" s="5" t="s">
        <v>29</v>
      </c>
      <c r="D193" s="5" t="s">
        <v>1739</v>
      </c>
      <c r="E193" s="5">
        <v>4</v>
      </c>
      <c r="F193" s="5" t="s">
        <v>1911</v>
      </c>
    </row>
    <row r="194" spans="1:6" ht="27.6">
      <c r="A194" s="5" t="s">
        <v>549</v>
      </c>
      <c r="B194" s="5" t="s">
        <v>269</v>
      </c>
      <c r="C194" s="5" t="s">
        <v>29</v>
      </c>
      <c r="D194" s="5" t="s">
        <v>1743</v>
      </c>
      <c r="E194" s="5">
        <v>1</v>
      </c>
      <c r="F194" s="5" t="s">
        <v>1912</v>
      </c>
    </row>
    <row r="195" spans="1:6" ht="27.6">
      <c r="A195" s="5" t="s">
        <v>549</v>
      </c>
      <c r="B195" s="5" t="s">
        <v>269</v>
      </c>
      <c r="C195" s="5" t="s">
        <v>29</v>
      </c>
      <c r="D195" s="5" t="s">
        <v>1743</v>
      </c>
      <c r="E195" s="5">
        <v>2</v>
      </c>
      <c r="F195" s="5" t="s">
        <v>1913</v>
      </c>
    </row>
    <row r="196" spans="1:6" ht="27.6">
      <c r="A196" s="5" t="s">
        <v>549</v>
      </c>
      <c r="B196" s="5" t="s">
        <v>269</v>
      </c>
      <c r="C196" s="5" t="s">
        <v>29</v>
      </c>
      <c r="D196" s="5" t="s">
        <v>1743</v>
      </c>
      <c r="E196" s="5">
        <v>3</v>
      </c>
      <c r="F196" s="5" t="s">
        <v>1914</v>
      </c>
    </row>
    <row r="197" spans="1:6" ht="27.6">
      <c r="A197" s="5" t="s">
        <v>549</v>
      </c>
      <c r="B197" s="5" t="s">
        <v>269</v>
      </c>
      <c r="C197" s="5" t="s">
        <v>29</v>
      </c>
      <c r="D197" s="5" t="s">
        <v>1748</v>
      </c>
      <c r="E197" s="5">
        <v>1</v>
      </c>
      <c r="F197" s="5" t="s">
        <v>1915</v>
      </c>
    </row>
    <row r="198" spans="1:6" ht="27.6">
      <c r="A198" s="5" t="s">
        <v>549</v>
      </c>
      <c r="B198" s="5" t="s">
        <v>269</v>
      </c>
      <c r="C198" s="5" t="s">
        <v>29</v>
      </c>
      <c r="D198" s="5" t="s">
        <v>1748</v>
      </c>
      <c r="E198" s="5">
        <v>2</v>
      </c>
      <c r="F198" s="5" t="s">
        <v>1916</v>
      </c>
    </row>
    <row r="199" spans="1:6" ht="27.6">
      <c r="A199" s="5" t="s">
        <v>562</v>
      </c>
      <c r="B199" s="5" t="s">
        <v>563</v>
      </c>
      <c r="C199" s="5" t="s">
        <v>29</v>
      </c>
      <c r="D199" s="5" t="s">
        <v>1735</v>
      </c>
      <c r="E199" s="5">
        <v>1</v>
      </c>
      <c r="F199" s="5" t="s">
        <v>1917</v>
      </c>
    </row>
    <row r="200" spans="1:6" ht="27.6">
      <c r="A200" s="5" t="s">
        <v>562</v>
      </c>
      <c r="B200" s="5" t="s">
        <v>563</v>
      </c>
      <c r="C200" s="5" t="s">
        <v>29</v>
      </c>
      <c r="D200" s="5" t="s">
        <v>1735</v>
      </c>
      <c r="E200" s="5">
        <v>2</v>
      </c>
      <c r="F200" s="5" t="s">
        <v>1918</v>
      </c>
    </row>
    <row r="201" spans="1:6" ht="27.6">
      <c r="A201" s="5" t="s">
        <v>562</v>
      </c>
      <c r="B201" s="5" t="s">
        <v>563</v>
      </c>
      <c r="C201" s="5" t="s">
        <v>29</v>
      </c>
      <c r="D201" s="5" t="s">
        <v>1735</v>
      </c>
      <c r="E201" s="5">
        <v>3</v>
      </c>
      <c r="F201" s="5" t="s">
        <v>1919</v>
      </c>
    </row>
    <row r="202" spans="1:6" ht="27.6">
      <c r="A202" s="5" t="s">
        <v>562</v>
      </c>
      <c r="B202" s="5" t="s">
        <v>563</v>
      </c>
      <c r="C202" s="5" t="s">
        <v>29</v>
      </c>
      <c r="D202" s="5" t="s">
        <v>1735</v>
      </c>
      <c r="E202" s="5">
        <v>4</v>
      </c>
      <c r="F202" s="5" t="s">
        <v>1920</v>
      </c>
    </row>
    <row r="203" spans="1:6" ht="27.6">
      <c r="A203" s="5" t="s">
        <v>562</v>
      </c>
      <c r="B203" s="5" t="s">
        <v>563</v>
      </c>
      <c r="C203" s="5" t="s">
        <v>29</v>
      </c>
      <c r="D203" s="5" t="s">
        <v>1735</v>
      </c>
      <c r="E203" s="5">
        <v>5</v>
      </c>
      <c r="F203" s="5" t="s">
        <v>1921</v>
      </c>
    </row>
    <row r="204" spans="1:6" ht="27.6">
      <c r="A204" s="5" t="s">
        <v>562</v>
      </c>
      <c r="B204" s="5" t="s">
        <v>563</v>
      </c>
      <c r="C204" s="5" t="s">
        <v>29</v>
      </c>
      <c r="D204" s="5" t="s">
        <v>1739</v>
      </c>
      <c r="E204" s="5">
        <v>1</v>
      </c>
      <c r="F204" s="5" t="s">
        <v>1922</v>
      </c>
    </row>
    <row r="205" spans="1:6" ht="27.6">
      <c r="A205" s="5" t="s">
        <v>562</v>
      </c>
      <c r="B205" s="5" t="s">
        <v>563</v>
      </c>
      <c r="C205" s="5" t="s">
        <v>29</v>
      </c>
      <c r="D205" s="5" t="s">
        <v>1743</v>
      </c>
      <c r="E205" s="5">
        <v>1</v>
      </c>
      <c r="F205" s="5" t="s">
        <v>1923</v>
      </c>
    </row>
    <row r="206" spans="1:6" ht="27.6">
      <c r="A206" s="5" t="s">
        <v>562</v>
      </c>
      <c r="B206" s="5" t="s">
        <v>563</v>
      </c>
      <c r="C206" s="5" t="s">
        <v>29</v>
      </c>
      <c r="D206" s="5" t="s">
        <v>1743</v>
      </c>
      <c r="E206" s="5">
        <v>2</v>
      </c>
      <c r="F206" s="5" t="s">
        <v>1924</v>
      </c>
    </row>
    <row r="207" spans="1:6" ht="27.6">
      <c r="A207" s="5" t="s">
        <v>562</v>
      </c>
      <c r="B207" s="5" t="s">
        <v>563</v>
      </c>
      <c r="C207" s="5" t="s">
        <v>29</v>
      </c>
      <c r="D207" s="5" t="s">
        <v>1743</v>
      </c>
      <c r="E207" s="5">
        <v>3</v>
      </c>
      <c r="F207" s="5" t="s">
        <v>1925</v>
      </c>
    </row>
    <row r="208" spans="1:6" ht="27.6">
      <c r="A208" s="5" t="s">
        <v>562</v>
      </c>
      <c r="B208" s="5" t="s">
        <v>563</v>
      </c>
      <c r="C208" s="5" t="s">
        <v>29</v>
      </c>
      <c r="D208" s="5" t="s">
        <v>1748</v>
      </c>
      <c r="E208" s="5">
        <v>1</v>
      </c>
      <c r="F208" s="5" t="s">
        <v>1926</v>
      </c>
    </row>
    <row r="209" spans="1:6" ht="27.6">
      <c r="A209" s="5" t="s">
        <v>576</v>
      </c>
      <c r="B209" s="5" t="s">
        <v>577</v>
      </c>
      <c r="C209" s="5" t="s">
        <v>29</v>
      </c>
      <c r="D209" s="5" t="s">
        <v>1735</v>
      </c>
      <c r="E209" s="5">
        <v>1</v>
      </c>
      <c r="F209" s="5" t="s">
        <v>1927</v>
      </c>
    </row>
    <row r="210" spans="1:6" ht="27.6">
      <c r="A210" s="5" t="s">
        <v>576</v>
      </c>
      <c r="B210" s="5" t="s">
        <v>577</v>
      </c>
      <c r="C210" s="5" t="s">
        <v>29</v>
      </c>
      <c r="D210" s="5" t="s">
        <v>1735</v>
      </c>
      <c r="E210" s="5">
        <v>2</v>
      </c>
      <c r="F210" s="5" t="s">
        <v>1928</v>
      </c>
    </row>
    <row r="211" spans="1:6" ht="27.6">
      <c r="A211" s="5" t="s">
        <v>576</v>
      </c>
      <c r="B211" s="5" t="s">
        <v>577</v>
      </c>
      <c r="C211" s="5" t="s">
        <v>29</v>
      </c>
      <c r="D211" s="5" t="s">
        <v>1735</v>
      </c>
      <c r="E211" s="5">
        <v>3</v>
      </c>
      <c r="F211" s="5" t="s">
        <v>1929</v>
      </c>
    </row>
    <row r="212" spans="1:6" ht="27.6">
      <c r="A212" s="5" t="s">
        <v>576</v>
      </c>
      <c r="B212" s="5" t="s">
        <v>577</v>
      </c>
      <c r="C212" s="5" t="s">
        <v>29</v>
      </c>
      <c r="D212" s="5" t="s">
        <v>1735</v>
      </c>
      <c r="E212" s="5">
        <v>4</v>
      </c>
      <c r="F212" s="5" t="s">
        <v>1784</v>
      </c>
    </row>
    <row r="213" spans="1:6" ht="27.6">
      <c r="A213" s="5" t="s">
        <v>576</v>
      </c>
      <c r="B213" s="5" t="s">
        <v>577</v>
      </c>
      <c r="C213" s="5" t="s">
        <v>29</v>
      </c>
      <c r="D213" s="5" t="s">
        <v>1735</v>
      </c>
      <c r="E213" s="5">
        <v>5</v>
      </c>
      <c r="F213" s="5" t="s">
        <v>1930</v>
      </c>
    </row>
    <row r="214" spans="1:6" ht="27.6">
      <c r="A214" s="5" t="s">
        <v>576</v>
      </c>
      <c r="B214" s="5" t="s">
        <v>577</v>
      </c>
      <c r="C214" s="5" t="s">
        <v>29</v>
      </c>
      <c r="D214" s="5" t="s">
        <v>1739</v>
      </c>
      <c r="E214" s="5">
        <v>1</v>
      </c>
      <c r="F214" s="5" t="s">
        <v>1931</v>
      </c>
    </row>
    <row r="215" spans="1:6" ht="27.6">
      <c r="A215" s="5" t="s">
        <v>576</v>
      </c>
      <c r="B215" s="5" t="s">
        <v>577</v>
      </c>
      <c r="C215" s="5" t="s">
        <v>29</v>
      </c>
      <c r="D215" s="5" t="s">
        <v>1743</v>
      </c>
      <c r="E215" s="5">
        <v>1</v>
      </c>
      <c r="F215" s="5" t="s">
        <v>1932</v>
      </c>
    </row>
    <row r="216" spans="1:6" ht="27.6">
      <c r="A216" s="5" t="s">
        <v>576</v>
      </c>
      <c r="B216" s="5" t="s">
        <v>577</v>
      </c>
      <c r="C216" s="5" t="s">
        <v>29</v>
      </c>
      <c r="D216" s="5" t="s">
        <v>1743</v>
      </c>
      <c r="E216" s="5">
        <v>2</v>
      </c>
      <c r="F216" s="5" t="s">
        <v>1933</v>
      </c>
    </row>
    <row r="217" spans="1:6" ht="27.6">
      <c r="A217" s="5" t="s">
        <v>576</v>
      </c>
      <c r="B217" s="5" t="s">
        <v>577</v>
      </c>
      <c r="C217" s="5" t="s">
        <v>29</v>
      </c>
      <c r="D217" s="5" t="s">
        <v>1748</v>
      </c>
      <c r="E217" s="5">
        <v>1</v>
      </c>
      <c r="F217" s="5" t="s">
        <v>1828</v>
      </c>
    </row>
    <row r="218" spans="1:6" ht="27.6">
      <c r="A218" s="5" t="s">
        <v>589</v>
      </c>
      <c r="B218" s="5" t="s">
        <v>590</v>
      </c>
      <c r="C218" s="5" t="s">
        <v>29</v>
      </c>
      <c r="D218" s="5" t="s">
        <v>1735</v>
      </c>
      <c r="E218" s="5">
        <v>1</v>
      </c>
      <c r="F218" s="5" t="s">
        <v>1934</v>
      </c>
    </row>
    <row r="219" spans="1:6" ht="27.6">
      <c r="A219" s="5" t="s">
        <v>589</v>
      </c>
      <c r="B219" s="5" t="s">
        <v>590</v>
      </c>
      <c r="C219" s="5" t="s">
        <v>29</v>
      </c>
      <c r="D219" s="5" t="s">
        <v>1735</v>
      </c>
      <c r="E219" s="5">
        <v>2</v>
      </c>
      <c r="F219" s="5" t="s">
        <v>1812</v>
      </c>
    </row>
    <row r="220" spans="1:6" ht="27.6">
      <c r="A220" s="5" t="s">
        <v>589</v>
      </c>
      <c r="B220" s="5" t="s">
        <v>590</v>
      </c>
      <c r="C220" s="5" t="s">
        <v>29</v>
      </c>
      <c r="D220" s="5" t="s">
        <v>1735</v>
      </c>
      <c r="E220" s="5">
        <v>3</v>
      </c>
      <c r="F220" s="5" t="s">
        <v>1920</v>
      </c>
    </row>
    <row r="221" spans="1:6" ht="27.6">
      <c r="A221" s="5" t="s">
        <v>589</v>
      </c>
      <c r="B221" s="5" t="s">
        <v>590</v>
      </c>
      <c r="C221" s="5" t="s">
        <v>29</v>
      </c>
      <c r="D221" s="5" t="s">
        <v>1735</v>
      </c>
      <c r="E221" s="5">
        <v>4</v>
      </c>
      <c r="F221" s="5" t="s">
        <v>1935</v>
      </c>
    </row>
    <row r="222" spans="1:6" ht="27.6">
      <c r="A222" s="5" t="s">
        <v>589</v>
      </c>
      <c r="B222" s="5" t="s">
        <v>590</v>
      </c>
      <c r="C222" s="5" t="s">
        <v>29</v>
      </c>
      <c r="D222" s="5" t="s">
        <v>1735</v>
      </c>
      <c r="E222" s="5">
        <v>5</v>
      </c>
      <c r="F222" s="5" t="s">
        <v>1936</v>
      </c>
    </row>
    <row r="223" spans="1:6" ht="27.6">
      <c r="A223" s="5" t="s">
        <v>589</v>
      </c>
      <c r="B223" s="5" t="s">
        <v>590</v>
      </c>
      <c r="C223" s="5" t="s">
        <v>29</v>
      </c>
      <c r="D223" s="5" t="s">
        <v>1739</v>
      </c>
      <c r="E223" s="5">
        <v>1</v>
      </c>
      <c r="F223" s="5" t="s">
        <v>1937</v>
      </c>
    </row>
    <row r="224" spans="1:6" ht="27.6">
      <c r="A224" s="5" t="s">
        <v>589</v>
      </c>
      <c r="B224" s="5" t="s">
        <v>590</v>
      </c>
      <c r="C224" s="5" t="s">
        <v>29</v>
      </c>
      <c r="D224" s="5" t="s">
        <v>1743</v>
      </c>
      <c r="E224" s="5">
        <v>1</v>
      </c>
      <c r="F224" s="5" t="s">
        <v>1938</v>
      </c>
    </row>
    <row r="225" spans="1:6" ht="27.6">
      <c r="A225" s="5" t="s">
        <v>589</v>
      </c>
      <c r="B225" s="5" t="s">
        <v>590</v>
      </c>
      <c r="C225" s="5" t="s">
        <v>29</v>
      </c>
      <c r="D225" s="5" t="s">
        <v>1743</v>
      </c>
      <c r="E225" s="5">
        <v>2</v>
      </c>
      <c r="F225" s="5" t="s">
        <v>1939</v>
      </c>
    </row>
    <row r="226" spans="1:6" ht="27.6">
      <c r="A226" s="5" t="s">
        <v>589</v>
      </c>
      <c r="B226" s="5" t="s">
        <v>590</v>
      </c>
      <c r="C226" s="5" t="s">
        <v>29</v>
      </c>
      <c r="D226" s="5" t="s">
        <v>1743</v>
      </c>
      <c r="E226" s="5">
        <v>3</v>
      </c>
      <c r="F226" s="5" t="s">
        <v>1940</v>
      </c>
    </row>
    <row r="227" spans="1:6" ht="27.6">
      <c r="A227" s="5" t="s">
        <v>589</v>
      </c>
      <c r="B227" s="5" t="s">
        <v>590</v>
      </c>
      <c r="C227" s="5" t="s">
        <v>29</v>
      </c>
      <c r="D227" s="5" t="s">
        <v>1748</v>
      </c>
      <c r="E227" s="5">
        <v>1</v>
      </c>
      <c r="F227" s="5" t="s">
        <v>1941</v>
      </c>
    </row>
    <row r="228" spans="1:6" ht="27.6">
      <c r="A228" s="5" t="s">
        <v>603</v>
      </c>
      <c r="B228" s="5" t="s">
        <v>604</v>
      </c>
      <c r="C228" s="5" t="s">
        <v>29</v>
      </c>
      <c r="D228" s="5" t="s">
        <v>1735</v>
      </c>
      <c r="E228" s="5">
        <v>1</v>
      </c>
      <c r="F228" s="5" t="s">
        <v>1942</v>
      </c>
    </row>
    <row r="229" spans="1:6" ht="27.6">
      <c r="A229" s="5" t="s">
        <v>603</v>
      </c>
      <c r="B229" s="5" t="s">
        <v>604</v>
      </c>
      <c r="C229" s="5" t="s">
        <v>29</v>
      </c>
      <c r="D229" s="5" t="s">
        <v>1735</v>
      </c>
      <c r="E229" s="5">
        <v>2</v>
      </c>
      <c r="F229" s="5" t="s">
        <v>1943</v>
      </c>
    </row>
    <row r="230" spans="1:6" ht="27.6">
      <c r="A230" s="5" t="s">
        <v>603</v>
      </c>
      <c r="B230" s="5" t="s">
        <v>604</v>
      </c>
      <c r="C230" s="5" t="s">
        <v>29</v>
      </c>
      <c r="D230" s="5" t="s">
        <v>1735</v>
      </c>
      <c r="E230" s="5">
        <v>3</v>
      </c>
      <c r="F230" s="5" t="s">
        <v>1771</v>
      </c>
    </row>
    <row r="231" spans="1:6" ht="27.6">
      <c r="A231" s="5" t="s">
        <v>603</v>
      </c>
      <c r="B231" s="5" t="s">
        <v>604</v>
      </c>
      <c r="C231" s="5" t="s">
        <v>29</v>
      </c>
      <c r="D231" s="5" t="s">
        <v>1735</v>
      </c>
      <c r="E231" s="5">
        <v>4</v>
      </c>
      <c r="F231" s="5" t="s">
        <v>1944</v>
      </c>
    </row>
    <row r="232" spans="1:6" ht="27.6">
      <c r="A232" s="5" t="s">
        <v>603</v>
      </c>
      <c r="B232" s="5" t="s">
        <v>604</v>
      </c>
      <c r="C232" s="5" t="s">
        <v>29</v>
      </c>
      <c r="D232" s="5" t="s">
        <v>1735</v>
      </c>
      <c r="E232" s="5">
        <v>5</v>
      </c>
      <c r="F232" s="5" t="s">
        <v>1945</v>
      </c>
    </row>
    <row r="233" spans="1:6" ht="27.6">
      <c r="A233" s="5" t="s">
        <v>603</v>
      </c>
      <c r="B233" s="5" t="s">
        <v>604</v>
      </c>
      <c r="C233" s="5" t="s">
        <v>29</v>
      </c>
      <c r="D233" s="5" t="s">
        <v>1739</v>
      </c>
      <c r="E233" s="5">
        <v>1</v>
      </c>
      <c r="F233" s="5" t="s">
        <v>1946</v>
      </c>
    </row>
    <row r="234" spans="1:6" ht="27.6">
      <c r="A234" s="5" t="s">
        <v>603</v>
      </c>
      <c r="B234" s="5" t="s">
        <v>604</v>
      </c>
      <c r="C234" s="5" t="s">
        <v>29</v>
      </c>
      <c r="D234" s="5" t="s">
        <v>1739</v>
      </c>
      <c r="E234" s="5">
        <v>2</v>
      </c>
      <c r="F234" s="5" t="s">
        <v>1947</v>
      </c>
    </row>
    <row r="235" spans="1:6" ht="27.6">
      <c r="A235" s="5" t="s">
        <v>603</v>
      </c>
      <c r="B235" s="5" t="s">
        <v>604</v>
      </c>
      <c r="C235" s="5" t="s">
        <v>29</v>
      </c>
      <c r="D235" s="5" t="s">
        <v>1743</v>
      </c>
      <c r="E235" s="5">
        <v>1</v>
      </c>
      <c r="F235" s="5" t="s">
        <v>1948</v>
      </c>
    </row>
    <row r="236" spans="1:6" ht="27.6">
      <c r="A236" s="5" t="s">
        <v>603</v>
      </c>
      <c r="B236" s="5" t="s">
        <v>604</v>
      </c>
      <c r="C236" s="5" t="s">
        <v>29</v>
      </c>
      <c r="D236" s="5" t="s">
        <v>1743</v>
      </c>
      <c r="E236" s="5">
        <v>2</v>
      </c>
      <c r="F236" s="5" t="s">
        <v>1949</v>
      </c>
    </row>
    <row r="237" spans="1:6" ht="27.6">
      <c r="A237" s="5" t="s">
        <v>603</v>
      </c>
      <c r="B237" s="5" t="s">
        <v>604</v>
      </c>
      <c r="C237" s="5" t="s">
        <v>29</v>
      </c>
      <c r="D237" s="5" t="s">
        <v>1748</v>
      </c>
      <c r="E237" s="5">
        <v>1</v>
      </c>
      <c r="F237" s="5" t="s">
        <v>1950</v>
      </c>
    </row>
    <row r="238" spans="1:6" ht="27.6">
      <c r="A238" s="5" t="s">
        <v>603</v>
      </c>
      <c r="B238" s="5" t="s">
        <v>604</v>
      </c>
      <c r="C238" s="5" t="s">
        <v>29</v>
      </c>
      <c r="D238" s="5" t="s">
        <v>1748</v>
      </c>
      <c r="E238" s="5">
        <v>2</v>
      </c>
      <c r="F238" s="5" t="s">
        <v>1951</v>
      </c>
    </row>
    <row r="239" spans="1:6" ht="27.6">
      <c r="A239" s="5" t="s">
        <v>617</v>
      </c>
      <c r="B239" s="5" t="s">
        <v>618</v>
      </c>
      <c r="C239" s="5" t="s">
        <v>29</v>
      </c>
      <c r="D239" s="5" t="s">
        <v>1735</v>
      </c>
      <c r="E239" s="5">
        <v>1</v>
      </c>
      <c r="F239" s="5" t="s">
        <v>1952</v>
      </c>
    </row>
    <row r="240" spans="1:6" ht="27.6">
      <c r="A240" s="5" t="s">
        <v>617</v>
      </c>
      <c r="B240" s="5" t="s">
        <v>618</v>
      </c>
      <c r="C240" s="5" t="s">
        <v>29</v>
      </c>
      <c r="D240" s="5" t="s">
        <v>1735</v>
      </c>
      <c r="E240" s="5">
        <v>2</v>
      </c>
      <c r="F240" s="5" t="s">
        <v>1812</v>
      </c>
    </row>
    <row r="241" spans="1:6" ht="27.6">
      <c r="A241" s="5" t="s">
        <v>617</v>
      </c>
      <c r="B241" s="5" t="s">
        <v>618</v>
      </c>
      <c r="C241" s="5" t="s">
        <v>29</v>
      </c>
      <c r="D241" s="5" t="s">
        <v>1735</v>
      </c>
      <c r="E241" s="5">
        <v>3</v>
      </c>
      <c r="F241" s="5" t="s">
        <v>1953</v>
      </c>
    </row>
    <row r="242" spans="1:6" ht="27.6">
      <c r="A242" s="5" t="s">
        <v>617</v>
      </c>
      <c r="B242" s="5" t="s">
        <v>618</v>
      </c>
      <c r="C242" s="5" t="s">
        <v>29</v>
      </c>
      <c r="D242" s="5" t="s">
        <v>1735</v>
      </c>
      <c r="E242" s="5">
        <v>4</v>
      </c>
      <c r="F242" s="5" t="s">
        <v>1954</v>
      </c>
    </row>
    <row r="243" spans="1:6" ht="27.6">
      <c r="A243" s="5" t="s">
        <v>617</v>
      </c>
      <c r="B243" s="5" t="s">
        <v>618</v>
      </c>
      <c r="C243" s="5" t="s">
        <v>29</v>
      </c>
      <c r="D243" s="5" t="s">
        <v>1739</v>
      </c>
      <c r="E243" s="5">
        <v>1</v>
      </c>
      <c r="F243" s="5" t="s">
        <v>1955</v>
      </c>
    </row>
    <row r="244" spans="1:6" ht="27.6">
      <c r="A244" s="5" t="s">
        <v>617</v>
      </c>
      <c r="B244" s="5" t="s">
        <v>618</v>
      </c>
      <c r="C244" s="5" t="s">
        <v>29</v>
      </c>
      <c r="D244" s="5" t="s">
        <v>1743</v>
      </c>
      <c r="E244" s="5">
        <v>1</v>
      </c>
      <c r="F244" s="5" t="s">
        <v>1956</v>
      </c>
    </row>
    <row r="245" spans="1:6" ht="27.6">
      <c r="A245" s="5" t="s">
        <v>617</v>
      </c>
      <c r="B245" s="5" t="s">
        <v>618</v>
      </c>
      <c r="C245" s="5" t="s">
        <v>29</v>
      </c>
      <c r="D245" s="5" t="s">
        <v>1748</v>
      </c>
      <c r="E245" s="5">
        <v>1</v>
      </c>
      <c r="F245" s="5" t="s">
        <v>1828</v>
      </c>
    </row>
    <row r="246" spans="1:6" ht="27.6">
      <c r="A246" s="5" t="s">
        <v>630</v>
      </c>
      <c r="B246" s="5" t="s">
        <v>631</v>
      </c>
      <c r="C246" s="5" t="s">
        <v>29</v>
      </c>
      <c r="D246" s="5" t="s">
        <v>1735</v>
      </c>
      <c r="E246" s="5">
        <v>1</v>
      </c>
      <c r="F246" s="5" t="s">
        <v>1957</v>
      </c>
    </row>
    <row r="247" spans="1:6" ht="27.6">
      <c r="A247" s="5" t="s">
        <v>630</v>
      </c>
      <c r="B247" s="5" t="s">
        <v>631</v>
      </c>
      <c r="C247" s="5" t="s">
        <v>29</v>
      </c>
      <c r="D247" s="5" t="s">
        <v>1735</v>
      </c>
      <c r="E247" s="5">
        <v>2</v>
      </c>
      <c r="F247" s="5" t="s">
        <v>1958</v>
      </c>
    </row>
    <row r="248" spans="1:6" ht="27.6">
      <c r="A248" s="5" t="s">
        <v>630</v>
      </c>
      <c r="B248" s="5" t="s">
        <v>631</v>
      </c>
      <c r="C248" s="5" t="s">
        <v>29</v>
      </c>
      <c r="D248" s="5" t="s">
        <v>1735</v>
      </c>
      <c r="E248" s="5">
        <v>3</v>
      </c>
      <c r="F248" s="5" t="s">
        <v>1872</v>
      </c>
    </row>
    <row r="249" spans="1:6" ht="27.6">
      <c r="A249" s="5" t="s">
        <v>630</v>
      </c>
      <c r="B249" s="5" t="s">
        <v>631</v>
      </c>
      <c r="C249" s="5" t="s">
        <v>29</v>
      </c>
      <c r="D249" s="5" t="s">
        <v>1735</v>
      </c>
      <c r="E249" s="5">
        <v>4</v>
      </c>
      <c r="F249" s="5" t="s">
        <v>1959</v>
      </c>
    </row>
    <row r="250" spans="1:6" ht="27.6">
      <c r="A250" s="5" t="s">
        <v>630</v>
      </c>
      <c r="B250" s="5" t="s">
        <v>631</v>
      </c>
      <c r="C250" s="5" t="s">
        <v>29</v>
      </c>
      <c r="D250" s="5" t="s">
        <v>1735</v>
      </c>
      <c r="E250" s="5">
        <v>5</v>
      </c>
      <c r="F250" s="5" t="s">
        <v>1960</v>
      </c>
    </row>
    <row r="251" spans="1:6" ht="27.6">
      <c r="A251" s="5" t="s">
        <v>630</v>
      </c>
      <c r="B251" s="5" t="s">
        <v>631</v>
      </c>
      <c r="C251" s="5" t="s">
        <v>29</v>
      </c>
      <c r="D251" s="5" t="s">
        <v>1739</v>
      </c>
      <c r="E251" s="5">
        <v>1</v>
      </c>
      <c r="F251" s="5" t="s">
        <v>1961</v>
      </c>
    </row>
    <row r="252" spans="1:6" ht="27.6">
      <c r="A252" s="5" t="s">
        <v>630</v>
      </c>
      <c r="B252" s="5" t="s">
        <v>631</v>
      </c>
      <c r="C252" s="5" t="s">
        <v>29</v>
      </c>
      <c r="D252" s="5" t="s">
        <v>1743</v>
      </c>
      <c r="E252" s="5">
        <v>1</v>
      </c>
      <c r="F252" s="5" t="s">
        <v>1962</v>
      </c>
    </row>
    <row r="253" spans="1:6" ht="27.6">
      <c r="A253" s="5" t="s">
        <v>630</v>
      </c>
      <c r="B253" s="5" t="s">
        <v>631</v>
      </c>
      <c r="C253" s="5" t="s">
        <v>29</v>
      </c>
      <c r="D253" s="5" t="s">
        <v>1748</v>
      </c>
      <c r="E253" s="5">
        <v>1</v>
      </c>
      <c r="F253" s="5" t="s">
        <v>1963</v>
      </c>
    </row>
    <row r="254" spans="1:6" ht="27.6">
      <c r="A254" s="5" t="s">
        <v>644</v>
      </c>
      <c r="B254" s="5" t="s">
        <v>645</v>
      </c>
      <c r="C254" s="5" t="s">
        <v>29</v>
      </c>
      <c r="D254" s="5" t="s">
        <v>1735</v>
      </c>
      <c r="E254" s="5">
        <v>1</v>
      </c>
      <c r="F254" s="5" t="s">
        <v>1964</v>
      </c>
    </row>
    <row r="255" spans="1:6" ht="27.6">
      <c r="A255" s="5" t="s">
        <v>644</v>
      </c>
      <c r="B255" s="5" t="s">
        <v>645</v>
      </c>
      <c r="C255" s="5" t="s">
        <v>29</v>
      </c>
      <c r="D255" s="5" t="s">
        <v>1735</v>
      </c>
      <c r="E255" s="5">
        <v>2</v>
      </c>
      <c r="F255" s="5" t="s">
        <v>1965</v>
      </c>
    </row>
    <row r="256" spans="1:6" ht="27.6">
      <c r="A256" s="5" t="s">
        <v>644</v>
      </c>
      <c r="B256" s="5" t="s">
        <v>645</v>
      </c>
      <c r="C256" s="5" t="s">
        <v>29</v>
      </c>
      <c r="D256" s="5" t="s">
        <v>1735</v>
      </c>
      <c r="E256" s="5">
        <v>3</v>
      </c>
      <c r="F256" s="5" t="s">
        <v>1966</v>
      </c>
    </row>
    <row r="257" spans="1:6" ht="27.6">
      <c r="A257" s="5" t="s">
        <v>644</v>
      </c>
      <c r="B257" s="5" t="s">
        <v>645</v>
      </c>
      <c r="C257" s="5" t="s">
        <v>29</v>
      </c>
      <c r="D257" s="5" t="s">
        <v>1735</v>
      </c>
      <c r="E257" s="5">
        <v>4</v>
      </c>
      <c r="F257" s="5" t="s">
        <v>1967</v>
      </c>
    </row>
    <row r="258" spans="1:6" ht="27.6">
      <c r="A258" s="5" t="s">
        <v>644</v>
      </c>
      <c r="B258" s="5" t="s">
        <v>645</v>
      </c>
      <c r="C258" s="5" t="s">
        <v>29</v>
      </c>
      <c r="D258" s="5" t="s">
        <v>1739</v>
      </c>
      <c r="E258" s="5">
        <v>1</v>
      </c>
      <c r="F258" s="5" t="s">
        <v>1968</v>
      </c>
    </row>
    <row r="259" spans="1:6" ht="27.6">
      <c r="A259" s="5" t="s">
        <v>644</v>
      </c>
      <c r="B259" s="5" t="s">
        <v>645</v>
      </c>
      <c r="C259" s="5" t="s">
        <v>29</v>
      </c>
      <c r="D259" s="5" t="s">
        <v>1743</v>
      </c>
      <c r="E259" s="5">
        <v>1</v>
      </c>
      <c r="F259" s="5" t="s">
        <v>1969</v>
      </c>
    </row>
    <row r="260" spans="1:6" ht="27.6">
      <c r="A260" s="5" t="s">
        <v>644</v>
      </c>
      <c r="B260" s="5" t="s">
        <v>645</v>
      </c>
      <c r="C260" s="5" t="s">
        <v>29</v>
      </c>
      <c r="D260" s="5" t="s">
        <v>1748</v>
      </c>
      <c r="E260" s="5">
        <v>1</v>
      </c>
      <c r="F260" s="5" t="s">
        <v>1970</v>
      </c>
    </row>
    <row r="261" spans="1:6" ht="27.6">
      <c r="A261" s="5" t="s">
        <v>658</v>
      </c>
      <c r="B261" s="5" t="s">
        <v>659</v>
      </c>
      <c r="C261" s="5" t="s">
        <v>29</v>
      </c>
      <c r="D261" s="5" t="s">
        <v>1735</v>
      </c>
      <c r="E261" s="5">
        <v>1</v>
      </c>
      <c r="F261" s="5" t="s">
        <v>1971</v>
      </c>
    </row>
    <row r="262" spans="1:6" ht="27.6">
      <c r="A262" s="5" t="s">
        <v>658</v>
      </c>
      <c r="B262" s="5" t="s">
        <v>659</v>
      </c>
      <c r="C262" s="5" t="s">
        <v>29</v>
      </c>
      <c r="D262" s="5" t="s">
        <v>1735</v>
      </c>
      <c r="E262" s="5">
        <v>2</v>
      </c>
      <c r="F262" s="5" t="s">
        <v>1784</v>
      </c>
    </row>
    <row r="263" spans="1:6" ht="27.6">
      <c r="A263" s="5" t="s">
        <v>658</v>
      </c>
      <c r="B263" s="5" t="s">
        <v>659</v>
      </c>
      <c r="C263" s="5" t="s">
        <v>29</v>
      </c>
      <c r="D263" s="5" t="s">
        <v>1735</v>
      </c>
      <c r="E263" s="5">
        <v>3</v>
      </c>
      <c r="F263" s="5" t="s">
        <v>1972</v>
      </c>
    </row>
    <row r="264" spans="1:6" ht="27.6">
      <c r="A264" s="5" t="s">
        <v>658</v>
      </c>
      <c r="B264" s="5" t="s">
        <v>659</v>
      </c>
      <c r="C264" s="5" t="s">
        <v>29</v>
      </c>
      <c r="D264" s="5" t="s">
        <v>1735</v>
      </c>
      <c r="E264" s="5">
        <v>4</v>
      </c>
      <c r="F264" s="5" t="s">
        <v>1973</v>
      </c>
    </row>
    <row r="265" spans="1:6" ht="27.6">
      <c r="A265" s="5" t="s">
        <v>658</v>
      </c>
      <c r="B265" s="5" t="s">
        <v>659</v>
      </c>
      <c r="C265" s="5" t="s">
        <v>29</v>
      </c>
      <c r="D265" s="5" t="s">
        <v>1735</v>
      </c>
      <c r="E265" s="5">
        <v>5</v>
      </c>
      <c r="F265" s="5" t="s">
        <v>1895</v>
      </c>
    </row>
    <row r="266" spans="1:6" ht="27.6">
      <c r="A266" s="5" t="s">
        <v>658</v>
      </c>
      <c r="B266" s="5" t="s">
        <v>659</v>
      </c>
      <c r="C266" s="5" t="s">
        <v>29</v>
      </c>
      <c r="D266" s="5" t="s">
        <v>1735</v>
      </c>
      <c r="E266" s="5">
        <v>6</v>
      </c>
      <c r="F266" s="5" t="s">
        <v>1974</v>
      </c>
    </row>
    <row r="267" spans="1:6" ht="27.6">
      <c r="A267" s="5" t="s">
        <v>658</v>
      </c>
      <c r="B267" s="5" t="s">
        <v>659</v>
      </c>
      <c r="C267" s="5" t="s">
        <v>29</v>
      </c>
      <c r="D267" s="5" t="s">
        <v>1739</v>
      </c>
      <c r="E267" s="5">
        <v>1</v>
      </c>
      <c r="F267" s="5" t="s">
        <v>1975</v>
      </c>
    </row>
    <row r="268" spans="1:6" ht="27.6">
      <c r="A268" s="5" t="s">
        <v>658</v>
      </c>
      <c r="B268" s="5" t="s">
        <v>659</v>
      </c>
      <c r="C268" s="5" t="s">
        <v>29</v>
      </c>
      <c r="D268" s="5" t="s">
        <v>1743</v>
      </c>
      <c r="E268" s="5">
        <v>1</v>
      </c>
      <c r="F268" s="5" t="s">
        <v>1976</v>
      </c>
    </row>
    <row r="269" spans="1:6" ht="27.6">
      <c r="A269" s="5" t="s">
        <v>658</v>
      </c>
      <c r="B269" s="5" t="s">
        <v>659</v>
      </c>
      <c r="C269" s="5" t="s">
        <v>29</v>
      </c>
      <c r="D269" s="5" t="s">
        <v>1748</v>
      </c>
      <c r="E269" s="5">
        <v>1</v>
      </c>
      <c r="F269" s="5" t="s">
        <v>1977</v>
      </c>
    </row>
    <row r="270" spans="1:6" ht="27.6">
      <c r="A270" s="5" t="s">
        <v>672</v>
      </c>
      <c r="B270" s="5" t="s">
        <v>673</v>
      </c>
      <c r="C270" s="5" t="s">
        <v>29</v>
      </c>
      <c r="D270" s="5" t="s">
        <v>1735</v>
      </c>
      <c r="E270" s="5">
        <v>1</v>
      </c>
      <c r="F270" s="5" t="s">
        <v>1978</v>
      </c>
    </row>
    <row r="271" spans="1:6" ht="27.6">
      <c r="A271" s="5" t="s">
        <v>672</v>
      </c>
      <c r="B271" s="5" t="s">
        <v>673</v>
      </c>
      <c r="C271" s="5" t="s">
        <v>29</v>
      </c>
      <c r="D271" s="5" t="s">
        <v>1735</v>
      </c>
      <c r="E271" s="5">
        <v>2</v>
      </c>
      <c r="F271" s="5" t="s">
        <v>1979</v>
      </c>
    </row>
    <row r="272" spans="1:6" ht="27.6">
      <c r="A272" s="5" t="s">
        <v>672</v>
      </c>
      <c r="B272" s="5" t="s">
        <v>673</v>
      </c>
      <c r="C272" s="5" t="s">
        <v>29</v>
      </c>
      <c r="D272" s="5" t="s">
        <v>1735</v>
      </c>
      <c r="E272" s="5">
        <v>3</v>
      </c>
      <c r="F272" s="5" t="s">
        <v>1980</v>
      </c>
    </row>
    <row r="273" spans="1:6" ht="27.6">
      <c r="A273" s="5" t="s">
        <v>672</v>
      </c>
      <c r="B273" s="5" t="s">
        <v>673</v>
      </c>
      <c r="C273" s="5" t="s">
        <v>29</v>
      </c>
      <c r="D273" s="5" t="s">
        <v>1735</v>
      </c>
      <c r="E273" s="5">
        <v>4</v>
      </c>
      <c r="F273" s="5" t="s">
        <v>1981</v>
      </c>
    </row>
    <row r="274" spans="1:6" ht="27.6">
      <c r="A274" s="5" t="s">
        <v>672</v>
      </c>
      <c r="B274" s="5" t="s">
        <v>673</v>
      </c>
      <c r="C274" s="5" t="s">
        <v>29</v>
      </c>
      <c r="D274" s="5" t="s">
        <v>1735</v>
      </c>
      <c r="E274" s="5">
        <v>5</v>
      </c>
      <c r="F274" s="5" t="s">
        <v>1982</v>
      </c>
    </row>
    <row r="275" spans="1:6" ht="27.6">
      <c r="A275" s="5" t="s">
        <v>672</v>
      </c>
      <c r="B275" s="5" t="s">
        <v>673</v>
      </c>
      <c r="C275" s="5" t="s">
        <v>29</v>
      </c>
      <c r="D275" s="5" t="s">
        <v>1739</v>
      </c>
      <c r="E275" s="5">
        <v>1</v>
      </c>
      <c r="F275" s="5" t="s">
        <v>1983</v>
      </c>
    </row>
    <row r="276" spans="1:6" ht="27.6">
      <c r="A276" s="5" t="s">
        <v>672</v>
      </c>
      <c r="B276" s="5" t="s">
        <v>673</v>
      </c>
      <c r="C276" s="5" t="s">
        <v>29</v>
      </c>
      <c r="D276" s="5" t="s">
        <v>1739</v>
      </c>
      <c r="E276" s="5">
        <v>2</v>
      </c>
      <c r="F276" s="5" t="s">
        <v>1984</v>
      </c>
    </row>
    <row r="277" spans="1:6" ht="27.6">
      <c r="A277" s="5" t="s">
        <v>672</v>
      </c>
      <c r="B277" s="5" t="s">
        <v>673</v>
      </c>
      <c r="C277" s="5" t="s">
        <v>29</v>
      </c>
      <c r="D277" s="5" t="s">
        <v>1739</v>
      </c>
      <c r="E277" s="5">
        <v>3</v>
      </c>
      <c r="F277" s="5" t="s">
        <v>1985</v>
      </c>
    </row>
    <row r="278" spans="1:6" ht="27.6">
      <c r="A278" s="5" t="s">
        <v>672</v>
      </c>
      <c r="B278" s="5" t="s">
        <v>673</v>
      </c>
      <c r="C278" s="5" t="s">
        <v>29</v>
      </c>
      <c r="D278" s="5" t="s">
        <v>1743</v>
      </c>
      <c r="E278" s="5">
        <v>1</v>
      </c>
      <c r="F278" s="5" t="s">
        <v>1986</v>
      </c>
    </row>
    <row r="279" spans="1:6" ht="27.6">
      <c r="A279" s="5" t="s">
        <v>672</v>
      </c>
      <c r="B279" s="5" t="s">
        <v>673</v>
      </c>
      <c r="C279" s="5" t="s">
        <v>29</v>
      </c>
      <c r="D279" s="5" t="s">
        <v>1743</v>
      </c>
      <c r="E279" s="5">
        <v>2</v>
      </c>
      <c r="F279" s="5" t="s">
        <v>1987</v>
      </c>
    </row>
    <row r="280" spans="1:6" ht="27.6">
      <c r="A280" s="5" t="s">
        <v>672</v>
      </c>
      <c r="B280" s="5" t="s">
        <v>673</v>
      </c>
      <c r="C280" s="5" t="s">
        <v>29</v>
      </c>
      <c r="D280" s="5" t="s">
        <v>1748</v>
      </c>
      <c r="E280" s="5">
        <v>1</v>
      </c>
      <c r="F280" s="5" t="s">
        <v>1988</v>
      </c>
    </row>
    <row r="281" spans="1:6" ht="27.6">
      <c r="A281" s="5" t="s">
        <v>672</v>
      </c>
      <c r="B281" s="5" t="s">
        <v>673</v>
      </c>
      <c r="C281" s="5" t="s">
        <v>29</v>
      </c>
      <c r="D281" s="5" t="s">
        <v>1748</v>
      </c>
      <c r="E281" s="5">
        <v>2</v>
      </c>
      <c r="F281" s="5" t="s">
        <v>1989</v>
      </c>
    </row>
    <row r="282" spans="1:6">
      <c r="A282" s="5" t="s">
        <v>686</v>
      </c>
      <c r="B282" s="5" t="s">
        <v>687</v>
      </c>
      <c r="C282" s="5" t="s">
        <v>17</v>
      </c>
      <c r="D282" s="5" t="s">
        <v>1735</v>
      </c>
      <c r="E282" s="5">
        <v>1</v>
      </c>
      <c r="F282" s="5" t="s">
        <v>1829</v>
      </c>
    </row>
    <row r="283" spans="1:6">
      <c r="A283" s="5" t="s">
        <v>686</v>
      </c>
      <c r="B283" s="5" t="s">
        <v>687</v>
      </c>
      <c r="C283" s="5" t="s">
        <v>17</v>
      </c>
      <c r="D283" s="5" t="s">
        <v>1735</v>
      </c>
      <c r="E283" s="5">
        <v>2</v>
      </c>
      <c r="F283" s="5" t="s">
        <v>1990</v>
      </c>
    </row>
    <row r="284" spans="1:6">
      <c r="A284" s="5" t="s">
        <v>686</v>
      </c>
      <c r="B284" s="5" t="s">
        <v>687</v>
      </c>
      <c r="C284" s="5" t="s">
        <v>17</v>
      </c>
      <c r="D284" s="5" t="s">
        <v>1735</v>
      </c>
      <c r="E284" s="5">
        <v>3</v>
      </c>
      <c r="F284" s="5" t="s">
        <v>1991</v>
      </c>
    </row>
    <row r="285" spans="1:6">
      <c r="A285" s="5" t="s">
        <v>686</v>
      </c>
      <c r="B285" s="5" t="s">
        <v>687</v>
      </c>
      <c r="C285" s="5" t="s">
        <v>17</v>
      </c>
      <c r="D285" s="5" t="s">
        <v>1739</v>
      </c>
      <c r="E285" s="5">
        <v>1</v>
      </c>
      <c r="F285" s="5" t="s">
        <v>1992</v>
      </c>
    </row>
    <row r="286" spans="1:6">
      <c r="A286" s="5" t="s">
        <v>686</v>
      </c>
      <c r="B286" s="5" t="s">
        <v>687</v>
      </c>
      <c r="C286" s="5" t="s">
        <v>17</v>
      </c>
      <c r="D286" s="5" t="s">
        <v>1743</v>
      </c>
      <c r="E286" s="5">
        <v>1</v>
      </c>
      <c r="F286" s="5" t="s">
        <v>1993</v>
      </c>
    </row>
    <row r="287" spans="1:6">
      <c r="A287" s="5" t="s">
        <v>686</v>
      </c>
      <c r="B287" s="5" t="s">
        <v>687</v>
      </c>
      <c r="C287" s="5" t="s">
        <v>17</v>
      </c>
      <c r="D287" s="5" t="s">
        <v>1748</v>
      </c>
      <c r="E287" s="5">
        <v>1</v>
      </c>
      <c r="F287" s="5" t="s">
        <v>1994</v>
      </c>
    </row>
    <row r="288" spans="1:6">
      <c r="A288" s="5" t="s">
        <v>701</v>
      </c>
      <c r="B288" s="5" t="s">
        <v>702</v>
      </c>
      <c r="C288" s="5" t="s">
        <v>17</v>
      </c>
      <c r="D288" s="5" t="s">
        <v>1735</v>
      </c>
      <c r="E288" s="5">
        <v>1</v>
      </c>
      <c r="F288" s="5" t="s">
        <v>1781</v>
      </c>
    </row>
    <row r="289" spans="1:6">
      <c r="A289" s="5" t="s">
        <v>701</v>
      </c>
      <c r="B289" s="5" t="s">
        <v>702</v>
      </c>
      <c r="C289" s="5" t="s">
        <v>17</v>
      </c>
      <c r="D289" s="5" t="s">
        <v>1735</v>
      </c>
      <c r="E289" s="5">
        <v>2</v>
      </c>
      <c r="F289" s="5" t="s">
        <v>1995</v>
      </c>
    </row>
    <row r="290" spans="1:6">
      <c r="A290" s="5" t="s">
        <v>701</v>
      </c>
      <c r="B290" s="5" t="s">
        <v>702</v>
      </c>
      <c r="C290" s="5" t="s">
        <v>17</v>
      </c>
      <c r="D290" s="5" t="s">
        <v>1735</v>
      </c>
      <c r="E290" s="5">
        <v>3</v>
      </c>
      <c r="F290" s="5" t="s">
        <v>1996</v>
      </c>
    </row>
    <row r="291" spans="1:6">
      <c r="A291" s="5" t="s">
        <v>701</v>
      </c>
      <c r="B291" s="5" t="s">
        <v>702</v>
      </c>
      <c r="C291" s="5" t="s">
        <v>17</v>
      </c>
      <c r="D291" s="5" t="s">
        <v>1735</v>
      </c>
      <c r="E291" s="5">
        <v>4</v>
      </c>
      <c r="F291" s="5" t="s">
        <v>1997</v>
      </c>
    </row>
    <row r="292" spans="1:6">
      <c r="A292" s="5" t="s">
        <v>701</v>
      </c>
      <c r="B292" s="5" t="s">
        <v>702</v>
      </c>
      <c r="C292" s="5" t="s">
        <v>17</v>
      </c>
      <c r="D292" s="5" t="s">
        <v>1739</v>
      </c>
      <c r="E292" s="5">
        <v>1</v>
      </c>
      <c r="F292" s="5" t="s">
        <v>1998</v>
      </c>
    </row>
    <row r="293" spans="1:6">
      <c r="A293" s="5" t="s">
        <v>701</v>
      </c>
      <c r="B293" s="5" t="s">
        <v>702</v>
      </c>
      <c r="C293" s="5" t="s">
        <v>17</v>
      </c>
      <c r="D293" s="5" t="s">
        <v>1739</v>
      </c>
      <c r="E293" s="5">
        <v>2</v>
      </c>
      <c r="F293" s="5" t="s">
        <v>1570</v>
      </c>
    </row>
    <row r="294" spans="1:6">
      <c r="A294" s="5" t="s">
        <v>701</v>
      </c>
      <c r="B294" s="5" t="s">
        <v>702</v>
      </c>
      <c r="C294" s="5" t="s">
        <v>17</v>
      </c>
      <c r="D294" s="5" t="s">
        <v>1739</v>
      </c>
      <c r="E294" s="5">
        <v>3</v>
      </c>
      <c r="F294" s="5" t="s">
        <v>1999</v>
      </c>
    </row>
    <row r="295" spans="1:6">
      <c r="A295" s="5" t="s">
        <v>701</v>
      </c>
      <c r="B295" s="5" t="s">
        <v>702</v>
      </c>
      <c r="C295" s="5" t="s">
        <v>17</v>
      </c>
      <c r="D295" s="5" t="s">
        <v>1739</v>
      </c>
      <c r="E295" s="5">
        <v>4</v>
      </c>
      <c r="F295" s="5" t="s">
        <v>2000</v>
      </c>
    </row>
    <row r="296" spans="1:6">
      <c r="A296" s="5" t="s">
        <v>701</v>
      </c>
      <c r="B296" s="5" t="s">
        <v>702</v>
      </c>
      <c r="C296" s="5" t="s">
        <v>17</v>
      </c>
      <c r="D296" s="5" t="s">
        <v>1739</v>
      </c>
      <c r="E296" s="5">
        <v>5</v>
      </c>
      <c r="F296" s="5" t="s">
        <v>2001</v>
      </c>
    </row>
    <row r="297" spans="1:6">
      <c r="A297" s="5" t="s">
        <v>701</v>
      </c>
      <c r="B297" s="5" t="s">
        <v>702</v>
      </c>
      <c r="C297" s="5" t="s">
        <v>17</v>
      </c>
      <c r="D297" s="5" t="s">
        <v>1743</v>
      </c>
      <c r="E297" s="5">
        <v>1</v>
      </c>
      <c r="F297" s="5" t="s">
        <v>2002</v>
      </c>
    </row>
    <row r="298" spans="1:6">
      <c r="A298" s="5" t="s">
        <v>701</v>
      </c>
      <c r="B298" s="5" t="s">
        <v>702</v>
      </c>
      <c r="C298" s="5" t="s">
        <v>17</v>
      </c>
      <c r="D298" s="5" t="s">
        <v>1748</v>
      </c>
      <c r="E298" s="5">
        <v>1</v>
      </c>
      <c r="F298" s="5" t="s">
        <v>2003</v>
      </c>
    </row>
    <row r="299" spans="1:6">
      <c r="A299" s="5" t="s">
        <v>701</v>
      </c>
      <c r="B299" s="5" t="s">
        <v>702</v>
      </c>
      <c r="C299" s="5" t="s">
        <v>17</v>
      </c>
      <c r="D299" s="5" t="s">
        <v>1748</v>
      </c>
      <c r="E299" s="5">
        <v>2</v>
      </c>
      <c r="F299" s="5" t="s">
        <v>2004</v>
      </c>
    </row>
    <row r="300" spans="1:6">
      <c r="A300" s="5" t="s">
        <v>715</v>
      </c>
      <c r="B300" s="5" t="s">
        <v>716</v>
      </c>
      <c r="C300" s="5" t="s">
        <v>17</v>
      </c>
      <c r="D300" s="5" t="s">
        <v>1735</v>
      </c>
      <c r="E300" s="5">
        <v>1</v>
      </c>
      <c r="F300" s="5" t="s">
        <v>2005</v>
      </c>
    </row>
    <row r="301" spans="1:6">
      <c r="A301" s="5" t="s">
        <v>715</v>
      </c>
      <c r="B301" s="5" t="s">
        <v>716</v>
      </c>
      <c r="C301" s="5" t="s">
        <v>17</v>
      </c>
      <c r="D301" s="5" t="s">
        <v>1735</v>
      </c>
      <c r="E301" s="5">
        <v>2</v>
      </c>
      <c r="F301" s="5" t="s">
        <v>1958</v>
      </c>
    </row>
    <row r="302" spans="1:6">
      <c r="A302" s="5" t="s">
        <v>715</v>
      </c>
      <c r="B302" s="5" t="s">
        <v>716</v>
      </c>
      <c r="C302" s="5" t="s">
        <v>17</v>
      </c>
      <c r="D302" s="5" t="s">
        <v>1735</v>
      </c>
      <c r="E302" s="5">
        <v>3</v>
      </c>
      <c r="F302" s="5" t="s">
        <v>2006</v>
      </c>
    </row>
    <row r="303" spans="1:6">
      <c r="A303" s="5" t="s">
        <v>715</v>
      </c>
      <c r="B303" s="5" t="s">
        <v>716</v>
      </c>
      <c r="C303" s="5" t="s">
        <v>17</v>
      </c>
      <c r="D303" s="5" t="s">
        <v>1735</v>
      </c>
      <c r="E303" s="5">
        <v>4</v>
      </c>
      <c r="F303" s="5" t="s">
        <v>1872</v>
      </c>
    </row>
    <row r="304" spans="1:6">
      <c r="A304" s="5" t="s">
        <v>715</v>
      </c>
      <c r="B304" s="5" t="s">
        <v>716</v>
      </c>
      <c r="C304" s="5" t="s">
        <v>17</v>
      </c>
      <c r="D304" s="5" t="s">
        <v>1739</v>
      </c>
      <c r="E304" s="5">
        <v>1</v>
      </c>
      <c r="F304" s="5" t="s">
        <v>2007</v>
      </c>
    </row>
    <row r="305" spans="1:6">
      <c r="A305" s="5" t="s">
        <v>715</v>
      </c>
      <c r="B305" s="5" t="s">
        <v>716</v>
      </c>
      <c r="C305" s="5" t="s">
        <v>17</v>
      </c>
      <c r="D305" s="5" t="s">
        <v>1743</v>
      </c>
      <c r="E305" s="5">
        <v>1</v>
      </c>
      <c r="F305" s="5" t="s">
        <v>2008</v>
      </c>
    </row>
    <row r="306" spans="1:6">
      <c r="A306" s="5" t="s">
        <v>715</v>
      </c>
      <c r="B306" s="5" t="s">
        <v>716</v>
      </c>
      <c r="C306" s="5" t="s">
        <v>17</v>
      </c>
      <c r="D306" s="5" t="s">
        <v>1748</v>
      </c>
      <c r="E306" s="5">
        <v>1</v>
      </c>
      <c r="F306" s="5" t="s">
        <v>2009</v>
      </c>
    </row>
    <row r="307" spans="1:6">
      <c r="A307" s="5" t="s">
        <v>729</v>
      </c>
      <c r="B307" s="5" t="s">
        <v>730</v>
      </c>
      <c r="C307" s="5" t="s">
        <v>17</v>
      </c>
      <c r="D307" s="5" t="s">
        <v>1735</v>
      </c>
      <c r="E307" s="5">
        <v>1</v>
      </c>
      <c r="F307" s="5" t="s">
        <v>2010</v>
      </c>
    </row>
    <row r="308" spans="1:6">
      <c r="A308" s="5" t="s">
        <v>729</v>
      </c>
      <c r="B308" s="5" t="s">
        <v>730</v>
      </c>
      <c r="C308" s="5" t="s">
        <v>17</v>
      </c>
      <c r="D308" s="5" t="s">
        <v>1735</v>
      </c>
      <c r="E308" s="5">
        <v>2</v>
      </c>
      <c r="F308" s="5" t="s">
        <v>2011</v>
      </c>
    </row>
    <row r="309" spans="1:6">
      <c r="A309" s="5" t="s">
        <v>729</v>
      </c>
      <c r="B309" s="5" t="s">
        <v>730</v>
      </c>
      <c r="C309" s="5" t="s">
        <v>17</v>
      </c>
      <c r="D309" s="5" t="s">
        <v>1735</v>
      </c>
      <c r="E309" s="5">
        <v>3</v>
      </c>
      <c r="F309" s="5" t="s">
        <v>2012</v>
      </c>
    </row>
    <row r="310" spans="1:6">
      <c r="A310" s="5" t="s">
        <v>729</v>
      </c>
      <c r="B310" s="5" t="s">
        <v>730</v>
      </c>
      <c r="C310" s="5" t="s">
        <v>17</v>
      </c>
      <c r="D310" s="5" t="s">
        <v>1735</v>
      </c>
      <c r="E310" s="5">
        <v>4</v>
      </c>
      <c r="F310" s="5" t="s">
        <v>2013</v>
      </c>
    </row>
    <row r="311" spans="1:6">
      <c r="A311" s="5" t="s">
        <v>729</v>
      </c>
      <c r="B311" s="5" t="s">
        <v>730</v>
      </c>
      <c r="C311" s="5" t="s">
        <v>17</v>
      </c>
      <c r="D311" s="5" t="s">
        <v>1739</v>
      </c>
      <c r="E311" s="5">
        <v>1</v>
      </c>
      <c r="F311" s="5" t="s">
        <v>2014</v>
      </c>
    </row>
    <row r="312" spans="1:6">
      <c r="A312" s="5" t="s">
        <v>729</v>
      </c>
      <c r="B312" s="5" t="s">
        <v>730</v>
      </c>
      <c r="C312" s="5" t="s">
        <v>17</v>
      </c>
      <c r="D312" s="5" t="s">
        <v>1739</v>
      </c>
      <c r="E312" s="5">
        <v>2</v>
      </c>
      <c r="F312" s="5" t="s">
        <v>2015</v>
      </c>
    </row>
    <row r="313" spans="1:6">
      <c r="A313" s="5" t="s">
        <v>729</v>
      </c>
      <c r="B313" s="5" t="s">
        <v>730</v>
      </c>
      <c r="C313" s="5" t="s">
        <v>17</v>
      </c>
      <c r="D313" s="5" t="s">
        <v>1739</v>
      </c>
      <c r="E313" s="5">
        <v>3</v>
      </c>
      <c r="F313" s="5" t="s">
        <v>2016</v>
      </c>
    </row>
    <row r="314" spans="1:6">
      <c r="A314" s="5" t="s">
        <v>729</v>
      </c>
      <c r="B314" s="5" t="s">
        <v>730</v>
      </c>
      <c r="C314" s="5" t="s">
        <v>17</v>
      </c>
      <c r="D314" s="5" t="s">
        <v>1739</v>
      </c>
      <c r="E314" s="5">
        <v>4</v>
      </c>
      <c r="F314" s="5" t="s">
        <v>2017</v>
      </c>
    </row>
    <row r="315" spans="1:6">
      <c r="A315" s="5" t="s">
        <v>729</v>
      </c>
      <c r="B315" s="5" t="s">
        <v>730</v>
      </c>
      <c r="C315" s="5" t="s">
        <v>17</v>
      </c>
      <c r="D315" s="5" t="s">
        <v>1739</v>
      </c>
      <c r="E315" s="5">
        <v>5</v>
      </c>
      <c r="F315" s="5" t="s">
        <v>2018</v>
      </c>
    </row>
    <row r="316" spans="1:6">
      <c r="A316" s="5" t="s">
        <v>729</v>
      </c>
      <c r="B316" s="5" t="s">
        <v>730</v>
      </c>
      <c r="C316" s="5" t="s">
        <v>17</v>
      </c>
      <c r="D316" s="5" t="s">
        <v>1743</v>
      </c>
      <c r="E316" s="5">
        <v>1</v>
      </c>
      <c r="F316" s="5" t="s">
        <v>2019</v>
      </c>
    </row>
    <row r="317" spans="1:6">
      <c r="A317" s="5" t="s">
        <v>729</v>
      </c>
      <c r="B317" s="5" t="s">
        <v>730</v>
      </c>
      <c r="C317" s="5" t="s">
        <v>17</v>
      </c>
      <c r="D317" s="5" t="s">
        <v>1743</v>
      </c>
      <c r="E317" s="5">
        <v>2</v>
      </c>
      <c r="F317" s="5" t="s">
        <v>2020</v>
      </c>
    </row>
    <row r="318" spans="1:6">
      <c r="A318" s="5" t="s">
        <v>729</v>
      </c>
      <c r="B318" s="5" t="s">
        <v>730</v>
      </c>
      <c r="C318" s="5" t="s">
        <v>17</v>
      </c>
      <c r="D318" s="5" t="s">
        <v>1748</v>
      </c>
      <c r="E318" s="5">
        <v>1</v>
      </c>
      <c r="F318" s="5" t="s">
        <v>2021</v>
      </c>
    </row>
    <row r="319" spans="1:6">
      <c r="A319" s="5" t="s">
        <v>744</v>
      </c>
      <c r="B319" s="5" t="s">
        <v>745</v>
      </c>
      <c r="C319" s="5" t="s">
        <v>17</v>
      </c>
      <c r="D319" s="5" t="s">
        <v>1735</v>
      </c>
      <c r="E319" s="5">
        <v>1</v>
      </c>
      <c r="F319" s="5" t="s">
        <v>2022</v>
      </c>
    </row>
    <row r="320" spans="1:6">
      <c r="A320" s="5" t="s">
        <v>744</v>
      </c>
      <c r="B320" s="5" t="s">
        <v>745</v>
      </c>
      <c r="C320" s="5" t="s">
        <v>17</v>
      </c>
      <c r="D320" s="5" t="s">
        <v>1735</v>
      </c>
      <c r="E320" s="5">
        <v>2</v>
      </c>
      <c r="F320" s="5" t="s">
        <v>2023</v>
      </c>
    </row>
    <row r="321" spans="1:6">
      <c r="A321" s="5" t="s">
        <v>744</v>
      </c>
      <c r="B321" s="5" t="s">
        <v>745</v>
      </c>
      <c r="C321" s="5" t="s">
        <v>17</v>
      </c>
      <c r="D321" s="5" t="s">
        <v>1735</v>
      </c>
      <c r="E321" s="5">
        <v>3</v>
      </c>
      <c r="F321" s="5" t="s">
        <v>2024</v>
      </c>
    </row>
    <row r="322" spans="1:6">
      <c r="A322" s="5" t="s">
        <v>744</v>
      </c>
      <c r="B322" s="5" t="s">
        <v>745</v>
      </c>
      <c r="C322" s="5" t="s">
        <v>17</v>
      </c>
      <c r="D322" s="5" t="s">
        <v>1735</v>
      </c>
      <c r="E322" s="5">
        <v>4</v>
      </c>
      <c r="F322" s="5" t="s">
        <v>1872</v>
      </c>
    </row>
    <row r="323" spans="1:6">
      <c r="A323" s="5" t="s">
        <v>744</v>
      </c>
      <c r="B323" s="5" t="s">
        <v>745</v>
      </c>
      <c r="C323" s="5" t="s">
        <v>17</v>
      </c>
      <c r="D323" s="5" t="s">
        <v>1735</v>
      </c>
      <c r="E323" s="5">
        <v>5</v>
      </c>
      <c r="F323" s="5" t="s">
        <v>2025</v>
      </c>
    </row>
    <row r="324" spans="1:6">
      <c r="A324" s="5" t="s">
        <v>744</v>
      </c>
      <c r="B324" s="5" t="s">
        <v>745</v>
      </c>
      <c r="C324" s="5" t="s">
        <v>17</v>
      </c>
      <c r="D324" s="5" t="s">
        <v>1739</v>
      </c>
      <c r="E324" s="5">
        <v>1</v>
      </c>
      <c r="F324" s="5" t="s">
        <v>2026</v>
      </c>
    </row>
    <row r="325" spans="1:6">
      <c r="A325" s="5" t="s">
        <v>744</v>
      </c>
      <c r="B325" s="5" t="s">
        <v>745</v>
      </c>
      <c r="C325" s="5" t="s">
        <v>17</v>
      </c>
      <c r="D325" s="5" t="s">
        <v>1739</v>
      </c>
      <c r="E325" s="5">
        <v>2</v>
      </c>
      <c r="F325" s="5" t="s">
        <v>1574</v>
      </c>
    </row>
    <row r="326" spans="1:6">
      <c r="A326" s="5" t="s">
        <v>744</v>
      </c>
      <c r="B326" s="5" t="s">
        <v>745</v>
      </c>
      <c r="C326" s="5" t="s">
        <v>17</v>
      </c>
      <c r="D326" s="5" t="s">
        <v>1739</v>
      </c>
      <c r="E326" s="5">
        <v>3</v>
      </c>
      <c r="F326" s="5" t="s">
        <v>2027</v>
      </c>
    </row>
    <row r="327" spans="1:6">
      <c r="A327" s="5" t="s">
        <v>744</v>
      </c>
      <c r="B327" s="5" t="s">
        <v>745</v>
      </c>
      <c r="C327" s="5" t="s">
        <v>17</v>
      </c>
      <c r="D327" s="5" t="s">
        <v>1739</v>
      </c>
      <c r="E327" s="5">
        <v>4</v>
      </c>
      <c r="F327" s="5" t="s">
        <v>2028</v>
      </c>
    </row>
    <row r="328" spans="1:6">
      <c r="A328" s="5" t="s">
        <v>744</v>
      </c>
      <c r="B328" s="5" t="s">
        <v>745</v>
      </c>
      <c r="C328" s="5" t="s">
        <v>17</v>
      </c>
      <c r="D328" s="5" t="s">
        <v>1743</v>
      </c>
      <c r="E328" s="5">
        <v>1</v>
      </c>
      <c r="F328" s="5" t="s">
        <v>2029</v>
      </c>
    </row>
    <row r="329" spans="1:6">
      <c r="A329" s="5" t="s">
        <v>744</v>
      </c>
      <c r="B329" s="5" t="s">
        <v>745</v>
      </c>
      <c r="C329" s="5" t="s">
        <v>17</v>
      </c>
      <c r="D329" s="5" t="s">
        <v>1743</v>
      </c>
      <c r="E329" s="5">
        <v>2</v>
      </c>
      <c r="F329" s="5" t="s">
        <v>2030</v>
      </c>
    </row>
    <row r="330" spans="1:6">
      <c r="A330" s="5" t="s">
        <v>744</v>
      </c>
      <c r="B330" s="5" t="s">
        <v>745</v>
      </c>
      <c r="C330" s="5" t="s">
        <v>17</v>
      </c>
      <c r="D330" s="5" t="s">
        <v>1748</v>
      </c>
      <c r="E330" s="5">
        <v>1</v>
      </c>
      <c r="F330" s="5" t="s">
        <v>2031</v>
      </c>
    </row>
    <row r="331" spans="1:6">
      <c r="A331" s="5" t="s">
        <v>757</v>
      </c>
      <c r="B331" s="5" t="s">
        <v>758</v>
      </c>
      <c r="C331" s="5" t="s">
        <v>17</v>
      </c>
      <c r="D331" s="5" t="s">
        <v>1735</v>
      </c>
      <c r="E331" s="5">
        <v>1</v>
      </c>
      <c r="F331" s="5" t="s">
        <v>1829</v>
      </c>
    </row>
    <row r="332" spans="1:6">
      <c r="A332" s="5" t="s">
        <v>757</v>
      </c>
      <c r="B332" s="5" t="s">
        <v>758</v>
      </c>
      <c r="C332" s="5" t="s">
        <v>17</v>
      </c>
      <c r="D332" s="5" t="s">
        <v>1735</v>
      </c>
      <c r="E332" s="5">
        <v>2</v>
      </c>
      <c r="F332" s="5" t="s">
        <v>2032</v>
      </c>
    </row>
    <row r="333" spans="1:6">
      <c r="A333" s="5" t="s">
        <v>757</v>
      </c>
      <c r="B333" s="5" t="s">
        <v>758</v>
      </c>
      <c r="C333" s="5" t="s">
        <v>17</v>
      </c>
      <c r="D333" s="5" t="s">
        <v>1735</v>
      </c>
      <c r="E333" s="5">
        <v>3</v>
      </c>
      <c r="F333" s="5" t="s">
        <v>1872</v>
      </c>
    </row>
    <row r="334" spans="1:6">
      <c r="A334" s="5" t="s">
        <v>757</v>
      </c>
      <c r="B334" s="5" t="s">
        <v>758</v>
      </c>
      <c r="C334" s="5" t="s">
        <v>17</v>
      </c>
      <c r="D334" s="5" t="s">
        <v>1735</v>
      </c>
      <c r="E334" s="5">
        <v>4</v>
      </c>
      <c r="F334" s="5" t="s">
        <v>1838</v>
      </c>
    </row>
    <row r="335" spans="1:6">
      <c r="A335" s="5" t="s">
        <v>757</v>
      </c>
      <c r="B335" s="5" t="s">
        <v>758</v>
      </c>
      <c r="C335" s="5" t="s">
        <v>17</v>
      </c>
      <c r="D335" s="5" t="s">
        <v>1735</v>
      </c>
      <c r="E335" s="5">
        <v>5</v>
      </c>
      <c r="F335" s="5" t="s">
        <v>2033</v>
      </c>
    </row>
    <row r="336" spans="1:6">
      <c r="A336" s="5" t="s">
        <v>757</v>
      </c>
      <c r="B336" s="5" t="s">
        <v>758</v>
      </c>
      <c r="C336" s="5" t="s">
        <v>17</v>
      </c>
      <c r="D336" s="5" t="s">
        <v>1739</v>
      </c>
      <c r="E336" s="5">
        <v>1</v>
      </c>
      <c r="F336" s="5" t="s">
        <v>2034</v>
      </c>
    </row>
    <row r="337" spans="1:6">
      <c r="A337" s="5" t="s">
        <v>757</v>
      </c>
      <c r="B337" s="5" t="s">
        <v>758</v>
      </c>
      <c r="C337" s="5" t="s">
        <v>17</v>
      </c>
      <c r="D337" s="5" t="s">
        <v>1739</v>
      </c>
      <c r="E337" s="5">
        <v>2</v>
      </c>
      <c r="F337" s="5" t="s">
        <v>2016</v>
      </c>
    </row>
    <row r="338" spans="1:6">
      <c r="A338" s="5" t="s">
        <v>757</v>
      </c>
      <c r="B338" s="5" t="s">
        <v>758</v>
      </c>
      <c r="C338" s="5" t="s">
        <v>17</v>
      </c>
      <c r="D338" s="5" t="s">
        <v>1739</v>
      </c>
      <c r="E338" s="5">
        <v>3</v>
      </c>
      <c r="F338" s="5" t="s">
        <v>2035</v>
      </c>
    </row>
    <row r="339" spans="1:6">
      <c r="A339" s="5" t="s">
        <v>757</v>
      </c>
      <c r="B339" s="5" t="s">
        <v>758</v>
      </c>
      <c r="C339" s="5" t="s">
        <v>17</v>
      </c>
      <c r="D339" s="5" t="s">
        <v>1739</v>
      </c>
      <c r="E339" s="5">
        <v>4</v>
      </c>
      <c r="F339" s="5" t="s">
        <v>1947</v>
      </c>
    </row>
    <row r="340" spans="1:6">
      <c r="A340" s="5" t="s">
        <v>757</v>
      </c>
      <c r="B340" s="5" t="s">
        <v>758</v>
      </c>
      <c r="C340" s="5" t="s">
        <v>17</v>
      </c>
      <c r="D340" s="5" t="s">
        <v>1739</v>
      </c>
      <c r="E340" s="5">
        <v>5</v>
      </c>
      <c r="F340" s="5" t="s">
        <v>1490</v>
      </c>
    </row>
    <row r="341" spans="1:6">
      <c r="A341" s="5" t="s">
        <v>757</v>
      </c>
      <c r="B341" s="5" t="s">
        <v>758</v>
      </c>
      <c r="C341" s="5" t="s">
        <v>17</v>
      </c>
      <c r="D341" s="5" t="s">
        <v>1743</v>
      </c>
      <c r="E341" s="5">
        <v>1</v>
      </c>
      <c r="F341" s="5" t="s">
        <v>2036</v>
      </c>
    </row>
    <row r="342" spans="1:6">
      <c r="A342" s="5" t="s">
        <v>757</v>
      </c>
      <c r="B342" s="5" t="s">
        <v>758</v>
      </c>
      <c r="C342" s="5" t="s">
        <v>17</v>
      </c>
      <c r="D342" s="5" t="s">
        <v>1743</v>
      </c>
      <c r="E342" s="5">
        <v>2</v>
      </c>
      <c r="F342" s="5" t="s">
        <v>2037</v>
      </c>
    </row>
    <row r="343" spans="1:6">
      <c r="A343" s="5" t="s">
        <v>757</v>
      </c>
      <c r="B343" s="5" t="s">
        <v>758</v>
      </c>
      <c r="C343" s="5" t="s">
        <v>17</v>
      </c>
      <c r="D343" s="5" t="s">
        <v>1748</v>
      </c>
      <c r="E343" s="5">
        <v>1</v>
      </c>
      <c r="F343" s="5" t="s">
        <v>2038</v>
      </c>
    </row>
    <row r="344" spans="1:6">
      <c r="A344" s="5" t="s">
        <v>757</v>
      </c>
      <c r="B344" s="5" t="s">
        <v>758</v>
      </c>
      <c r="C344" s="5" t="s">
        <v>17</v>
      </c>
      <c r="D344" s="5" t="s">
        <v>1748</v>
      </c>
      <c r="E344" s="5">
        <v>2</v>
      </c>
      <c r="F344" s="5" t="s">
        <v>2039</v>
      </c>
    </row>
    <row r="345" spans="1:6">
      <c r="A345" s="5" t="s">
        <v>770</v>
      </c>
      <c r="B345" s="5" t="s">
        <v>771</v>
      </c>
      <c r="C345" s="5" t="s">
        <v>20</v>
      </c>
      <c r="D345" s="5" t="s">
        <v>1735</v>
      </c>
      <c r="E345" s="5">
        <v>1</v>
      </c>
      <c r="F345" s="5" t="s">
        <v>1829</v>
      </c>
    </row>
    <row r="346" spans="1:6">
      <c r="A346" s="5" t="s">
        <v>770</v>
      </c>
      <c r="B346" s="5" t="s">
        <v>771</v>
      </c>
      <c r="C346" s="5" t="s">
        <v>20</v>
      </c>
      <c r="D346" s="5" t="s">
        <v>1735</v>
      </c>
      <c r="E346" s="5">
        <v>2</v>
      </c>
      <c r="F346" s="5" t="s">
        <v>1990</v>
      </c>
    </row>
    <row r="347" spans="1:6">
      <c r="A347" s="5" t="s">
        <v>770</v>
      </c>
      <c r="B347" s="5" t="s">
        <v>771</v>
      </c>
      <c r="C347" s="5" t="s">
        <v>20</v>
      </c>
      <c r="D347" s="5" t="s">
        <v>1735</v>
      </c>
      <c r="E347" s="5">
        <v>3</v>
      </c>
      <c r="F347" s="5" t="s">
        <v>2040</v>
      </c>
    </row>
    <row r="348" spans="1:6">
      <c r="A348" s="5" t="s">
        <v>770</v>
      </c>
      <c r="B348" s="5" t="s">
        <v>771</v>
      </c>
      <c r="C348" s="5" t="s">
        <v>20</v>
      </c>
      <c r="D348" s="5" t="s">
        <v>1739</v>
      </c>
      <c r="E348" s="5">
        <v>1</v>
      </c>
      <c r="F348" s="5" t="s">
        <v>2041</v>
      </c>
    </row>
    <row r="349" spans="1:6">
      <c r="A349" s="5" t="s">
        <v>770</v>
      </c>
      <c r="B349" s="5" t="s">
        <v>771</v>
      </c>
      <c r="C349" s="5" t="s">
        <v>20</v>
      </c>
      <c r="D349" s="5" t="s">
        <v>1743</v>
      </c>
      <c r="E349" s="5">
        <v>1</v>
      </c>
      <c r="F349" s="5" t="s">
        <v>2042</v>
      </c>
    </row>
    <row r="350" spans="1:6">
      <c r="A350" s="5" t="s">
        <v>770</v>
      </c>
      <c r="B350" s="5" t="s">
        <v>771</v>
      </c>
      <c r="C350" s="5" t="s">
        <v>20</v>
      </c>
      <c r="D350" s="5" t="s">
        <v>1748</v>
      </c>
      <c r="E350" s="5">
        <v>1</v>
      </c>
      <c r="F350" s="5" t="s">
        <v>2043</v>
      </c>
    </row>
    <row r="351" spans="1:6">
      <c r="A351" s="5" t="s">
        <v>784</v>
      </c>
      <c r="B351" s="5" t="s">
        <v>785</v>
      </c>
      <c r="C351" s="5" t="s">
        <v>20</v>
      </c>
      <c r="D351" s="5" t="s">
        <v>1735</v>
      </c>
      <c r="E351" s="5">
        <v>1</v>
      </c>
      <c r="F351" s="5" t="s">
        <v>2044</v>
      </c>
    </row>
    <row r="352" spans="1:6">
      <c r="A352" s="5" t="s">
        <v>784</v>
      </c>
      <c r="B352" s="5" t="s">
        <v>785</v>
      </c>
      <c r="C352" s="5" t="s">
        <v>20</v>
      </c>
      <c r="D352" s="5" t="s">
        <v>1735</v>
      </c>
      <c r="E352" s="5">
        <v>2</v>
      </c>
      <c r="F352" s="5" t="s">
        <v>2045</v>
      </c>
    </row>
    <row r="353" spans="1:6">
      <c r="A353" s="5" t="s">
        <v>784</v>
      </c>
      <c r="B353" s="5" t="s">
        <v>785</v>
      </c>
      <c r="C353" s="5" t="s">
        <v>20</v>
      </c>
      <c r="D353" s="5" t="s">
        <v>1735</v>
      </c>
      <c r="E353" s="5">
        <v>3</v>
      </c>
      <c r="F353" s="5" t="s">
        <v>2046</v>
      </c>
    </row>
    <row r="354" spans="1:6">
      <c r="A354" s="5" t="s">
        <v>784</v>
      </c>
      <c r="B354" s="5" t="s">
        <v>785</v>
      </c>
      <c r="C354" s="5" t="s">
        <v>20</v>
      </c>
      <c r="D354" s="5" t="s">
        <v>1735</v>
      </c>
      <c r="E354" s="5">
        <v>4</v>
      </c>
      <c r="F354" s="5" t="s">
        <v>2047</v>
      </c>
    </row>
    <row r="355" spans="1:6">
      <c r="A355" s="5" t="s">
        <v>784</v>
      </c>
      <c r="B355" s="5" t="s">
        <v>785</v>
      </c>
      <c r="C355" s="5" t="s">
        <v>20</v>
      </c>
      <c r="D355" s="5" t="s">
        <v>1739</v>
      </c>
      <c r="E355" s="5">
        <v>1</v>
      </c>
      <c r="F355" s="5" t="s">
        <v>2048</v>
      </c>
    </row>
    <row r="356" spans="1:6">
      <c r="A356" s="5" t="s">
        <v>784</v>
      </c>
      <c r="B356" s="5" t="s">
        <v>785</v>
      </c>
      <c r="C356" s="5" t="s">
        <v>20</v>
      </c>
      <c r="D356" s="5" t="s">
        <v>1739</v>
      </c>
      <c r="E356" s="5">
        <v>2</v>
      </c>
      <c r="F356" s="5" t="s">
        <v>2049</v>
      </c>
    </row>
    <row r="357" spans="1:6">
      <c r="A357" s="5" t="s">
        <v>784</v>
      </c>
      <c r="B357" s="5" t="s">
        <v>785</v>
      </c>
      <c r="C357" s="5" t="s">
        <v>20</v>
      </c>
      <c r="D357" s="5" t="s">
        <v>1739</v>
      </c>
      <c r="E357" s="5">
        <v>3</v>
      </c>
      <c r="F357" s="5" t="s">
        <v>2050</v>
      </c>
    </row>
    <row r="358" spans="1:6">
      <c r="A358" s="5" t="s">
        <v>784</v>
      </c>
      <c r="B358" s="5" t="s">
        <v>785</v>
      </c>
      <c r="C358" s="5" t="s">
        <v>20</v>
      </c>
      <c r="D358" s="5" t="s">
        <v>1739</v>
      </c>
      <c r="E358" s="5">
        <v>4</v>
      </c>
      <c r="F358" s="5" t="s">
        <v>1595</v>
      </c>
    </row>
    <row r="359" spans="1:6">
      <c r="A359" s="5" t="s">
        <v>784</v>
      </c>
      <c r="B359" s="5" t="s">
        <v>785</v>
      </c>
      <c r="C359" s="5" t="s">
        <v>20</v>
      </c>
      <c r="D359" s="5" t="s">
        <v>1739</v>
      </c>
      <c r="E359" s="5">
        <v>5</v>
      </c>
      <c r="F359" s="5" t="s">
        <v>2051</v>
      </c>
    </row>
    <row r="360" spans="1:6">
      <c r="A360" s="5" t="s">
        <v>784</v>
      </c>
      <c r="B360" s="5" t="s">
        <v>785</v>
      </c>
      <c r="C360" s="5" t="s">
        <v>20</v>
      </c>
      <c r="D360" s="5" t="s">
        <v>1739</v>
      </c>
      <c r="E360" s="5">
        <v>6</v>
      </c>
      <c r="F360" s="5" t="s">
        <v>1777</v>
      </c>
    </row>
    <row r="361" spans="1:6">
      <c r="A361" s="5" t="s">
        <v>784</v>
      </c>
      <c r="B361" s="5" t="s">
        <v>785</v>
      </c>
      <c r="C361" s="5" t="s">
        <v>20</v>
      </c>
      <c r="D361" s="5" t="s">
        <v>1743</v>
      </c>
      <c r="E361" s="5">
        <v>1</v>
      </c>
      <c r="F361" s="5" t="s">
        <v>2052</v>
      </c>
    </row>
    <row r="362" spans="1:6">
      <c r="A362" s="5" t="s">
        <v>784</v>
      </c>
      <c r="B362" s="5" t="s">
        <v>785</v>
      </c>
      <c r="C362" s="5" t="s">
        <v>20</v>
      </c>
      <c r="D362" s="5" t="s">
        <v>1748</v>
      </c>
      <c r="E362" s="5">
        <v>1</v>
      </c>
      <c r="F362" s="5" t="s">
        <v>799</v>
      </c>
    </row>
    <row r="363" spans="1:6">
      <c r="A363" s="5" t="s">
        <v>784</v>
      </c>
      <c r="B363" s="5" t="s">
        <v>785</v>
      </c>
      <c r="C363" s="5" t="s">
        <v>20</v>
      </c>
      <c r="D363" s="5" t="s">
        <v>1748</v>
      </c>
      <c r="E363" s="5">
        <v>2</v>
      </c>
      <c r="F363" s="5" t="s">
        <v>1508</v>
      </c>
    </row>
    <row r="364" spans="1:6">
      <c r="A364" s="5" t="s">
        <v>784</v>
      </c>
      <c r="B364" s="5" t="s">
        <v>785</v>
      </c>
      <c r="C364" s="5" t="s">
        <v>20</v>
      </c>
      <c r="D364" s="5" t="s">
        <v>1748</v>
      </c>
      <c r="E364" s="5">
        <v>3</v>
      </c>
      <c r="F364" s="5" t="s">
        <v>2053</v>
      </c>
    </row>
    <row r="365" spans="1:6">
      <c r="A365" s="5" t="s">
        <v>798</v>
      </c>
      <c r="B365" s="5" t="s">
        <v>799</v>
      </c>
      <c r="C365" s="5" t="s">
        <v>20</v>
      </c>
      <c r="D365" s="5" t="s">
        <v>1735</v>
      </c>
      <c r="E365" s="5">
        <v>1</v>
      </c>
      <c r="F365" s="5" t="s">
        <v>1829</v>
      </c>
    </row>
    <row r="366" spans="1:6">
      <c r="A366" s="5" t="s">
        <v>798</v>
      </c>
      <c r="B366" s="5" t="s">
        <v>799</v>
      </c>
      <c r="C366" s="5" t="s">
        <v>20</v>
      </c>
      <c r="D366" s="5" t="s">
        <v>1735</v>
      </c>
      <c r="E366" s="5">
        <v>2</v>
      </c>
      <c r="F366" s="5" t="s">
        <v>1771</v>
      </c>
    </row>
    <row r="367" spans="1:6">
      <c r="A367" s="5" t="s">
        <v>798</v>
      </c>
      <c r="B367" s="5" t="s">
        <v>799</v>
      </c>
      <c r="C367" s="5" t="s">
        <v>20</v>
      </c>
      <c r="D367" s="5" t="s">
        <v>1735</v>
      </c>
      <c r="E367" s="5">
        <v>3</v>
      </c>
      <c r="F367" s="5" t="s">
        <v>2054</v>
      </c>
    </row>
    <row r="368" spans="1:6">
      <c r="A368" s="5" t="s">
        <v>798</v>
      </c>
      <c r="B368" s="5" t="s">
        <v>799</v>
      </c>
      <c r="C368" s="5" t="s">
        <v>20</v>
      </c>
      <c r="D368" s="5" t="s">
        <v>1735</v>
      </c>
      <c r="E368" s="5">
        <v>4</v>
      </c>
      <c r="F368" s="5" t="s">
        <v>1838</v>
      </c>
    </row>
    <row r="369" spans="1:6">
      <c r="A369" s="5" t="s">
        <v>798</v>
      </c>
      <c r="B369" s="5" t="s">
        <v>799</v>
      </c>
      <c r="C369" s="5" t="s">
        <v>20</v>
      </c>
      <c r="D369" s="5" t="s">
        <v>1739</v>
      </c>
      <c r="E369" s="5">
        <v>1</v>
      </c>
      <c r="F369" s="5" t="s">
        <v>2055</v>
      </c>
    </row>
    <row r="370" spans="1:6">
      <c r="A370" s="5" t="s">
        <v>798</v>
      </c>
      <c r="B370" s="5" t="s">
        <v>799</v>
      </c>
      <c r="C370" s="5" t="s">
        <v>20</v>
      </c>
      <c r="D370" s="5" t="s">
        <v>1743</v>
      </c>
      <c r="E370" s="5">
        <v>1</v>
      </c>
      <c r="F370" s="5" t="s">
        <v>2056</v>
      </c>
    </row>
    <row r="371" spans="1:6">
      <c r="A371" s="5" t="s">
        <v>798</v>
      </c>
      <c r="B371" s="5" t="s">
        <v>799</v>
      </c>
      <c r="C371" s="5" t="s">
        <v>20</v>
      </c>
      <c r="D371" s="5" t="s">
        <v>1748</v>
      </c>
      <c r="E371" s="5">
        <v>1</v>
      </c>
      <c r="F371" s="5" t="s">
        <v>2057</v>
      </c>
    </row>
    <row r="372" spans="1:6">
      <c r="A372" s="5" t="s">
        <v>812</v>
      </c>
      <c r="B372" s="5" t="s">
        <v>813</v>
      </c>
      <c r="C372" s="5" t="s">
        <v>20</v>
      </c>
      <c r="D372" s="5" t="s">
        <v>1735</v>
      </c>
      <c r="E372" s="5">
        <v>1</v>
      </c>
      <c r="F372" s="5" t="s">
        <v>2058</v>
      </c>
    </row>
    <row r="373" spans="1:6">
      <c r="A373" s="5" t="s">
        <v>812</v>
      </c>
      <c r="B373" s="5" t="s">
        <v>813</v>
      </c>
      <c r="C373" s="5" t="s">
        <v>20</v>
      </c>
      <c r="D373" s="5" t="s">
        <v>1735</v>
      </c>
      <c r="E373" s="5">
        <v>2</v>
      </c>
      <c r="F373" s="5" t="s">
        <v>2059</v>
      </c>
    </row>
    <row r="374" spans="1:6">
      <c r="A374" s="5" t="s">
        <v>812</v>
      </c>
      <c r="B374" s="5" t="s">
        <v>813</v>
      </c>
      <c r="C374" s="5" t="s">
        <v>20</v>
      </c>
      <c r="D374" s="5" t="s">
        <v>1735</v>
      </c>
      <c r="E374" s="5">
        <v>3</v>
      </c>
      <c r="F374" s="5" t="s">
        <v>2060</v>
      </c>
    </row>
    <row r="375" spans="1:6">
      <c r="A375" s="5" t="s">
        <v>812</v>
      </c>
      <c r="B375" s="5" t="s">
        <v>813</v>
      </c>
      <c r="C375" s="5" t="s">
        <v>20</v>
      </c>
      <c r="D375" s="5" t="s">
        <v>1735</v>
      </c>
      <c r="E375" s="5">
        <v>4</v>
      </c>
      <c r="F375" s="5" t="s">
        <v>2061</v>
      </c>
    </row>
    <row r="376" spans="1:6">
      <c r="A376" s="5" t="s">
        <v>812</v>
      </c>
      <c r="B376" s="5" t="s">
        <v>813</v>
      </c>
      <c r="C376" s="5" t="s">
        <v>20</v>
      </c>
      <c r="D376" s="5" t="s">
        <v>1739</v>
      </c>
      <c r="E376" s="5">
        <v>1</v>
      </c>
      <c r="F376" s="5" t="s">
        <v>2062</v>
      </c>
    </row>
    <row r="377" spans="1:6">
      <c r="A377" s="5" t="s">
        <v>812</v>
      </c>
      <c r="B377" s="5" t="s">
        <v>813</v>
      </c>
      <c r="C377" s="5" t="s">
        <v>20</v>
      </c>
      <c r="D377" s="5" t="s">
        <v>1739</v>
      </c>
      <c r="E377" s="5">
        <v>2</v>
      </c>
      <c r="F377" s="5" t="s">
        <v>2063</v>
      </c>
    </row>
    <row r="378" spans="1:6">
      <c r="A378" s="5" t="s">
        <v>812</v>
      </c>
      <c r="B378" s="5" t="s">
        <v>813</v>
      </c>
      <c r="C378" s="5" t="s">
        <v>20</v>
      </c>
      <c r="D378" s="5" t="s">
        <v>1739</v>
      </c>
      <c r="E378" s="5">
        <v>3</v>
      </c>
      <c r="F378" s="5" t="s">
        <v>2064</v>
      </c>
    </row>
    <row r="379" spans="1:6">
      <c r="A379" s="5" t="s">
        <v>812</v>
      </c>
      <c r="B379" s="5" t="s">
        <v>813</v>
      </c>
      <c r="C379" s="5" t="s">
        <v>20</v>
      </c>
      <c r="D379" s="5" t="s">
        <v>1739</v>
      </c>
      <c r="E379" s="5">
        <v>4</v>
      </c>
      <c r="F379" s="5" t="s">
        <v>2065</v>
      </c>
    </row>
    <row r="380" spans="1:6">
      <c r="A380" s="5" t="s">
        <v>812</v>
      </c>
      <c r="B380" s="5" t="s">
        <v>813</v>
      </c>
      <c r="C380" s="5" t="s">
        <v>20</v>
      </c>
      <c r="D380" s="5" t="s">
        <v>1743</v>
      </c>
      <c r="E380" s="5">
        <v>1</v>
      </c>
      <c r="F380" s="5" t="s">
        <v>2066</v>
      </c>
    </row>
    <row r="381" spans="1:6">
      <c r="A381" s="5" t="s">
        <v>812</v>
      </c>
      <c r="B381" s="5" t="s">
        <v>813</v>
      </c>
      <c r="C381" s="5" t="s">
        <v>20</v>
      </c>
      <c r="D381" s="5" t="s">
        <v>1748</v>
      </c>
      <c r="E381" s="5">
        <v>1</v>
      </c>
      <c r="F381" s="5" t="s">
        <v>2067</v>
      </c>
    </row>
    <row r="382" spans="1:6">
      <c r="A382" s="5" t="s">
        <v>826</v>
      </c>
      <c r="B382" s="5" t="s">
        <v>827</v>
      </c>
      <c r="C382" s="5" t="s">
        <v>26</v>
      </c>
      <c r="D382" s="5" t="s">
        <v>1735</v>
      </c>
      <c r="E382" s="5">
        <v>1</v>
      </c>
      <c r="F382" s="5" t="s">
        <v>2068</v>
      </c>
    </row>
    <row r="383" spans="1:6">
      <c r="A383" s="5" t="s">
        <v>826</v>
      </c>
      <c r="B383" s="5" t="s">
        <v>827</v>
      </c>
      <c r="C383" s="5" t="s">
        <v>26</v>
      </c>
      <c r="D383" s="5" t="s">
        <v>1735</v>
      </c>
      <c r="E383" s="5">
        <v>2</v>
      </c>
      <c r="F383" s="5" t="s">
        <v>2045</v>
      </c>
    </row>
    <row r="384" spans="1:6">
      <c r="A384" s="5" t="s">
        <v>826</v>
      </c>
      <c r="B384" s="5" t="s">
        <v>827</v>
      </c>
      <c r="C384" s="5" t="s">
        <v>26</v>
      </c>
      <c r="D384" s="5" t="s">
        <v>1735</v>
      </c>
      <c r="E384" s="5">
        <v>3</v>
      </c>
      <c r="F384" s="5" t="s">
        <v>2069</v>
      </c>
    </row>
    <row r="385" spans="1:6">
      <c r="A385" s="5" t="s">
        <v>826</v>
      </c>
      <c r="B385" s="5" t="s">
        <v>827</v>
      </c>
      <c r="C385" s="5" t="s">
        <v>26</v>
      </c>
      <c r="D385" s="5" t="s">
        <v>1739</v>
      </c>
      <c r="E385" s="5">
        <v>1</v>
      </c>
      <c r="F385" s="5" t="s">
        <v>2070</v>
      </c>
    </row>
    <row r="386" spans="1:6">
      <c r="A386" s="5" t="s">
        <v>826</v>
      </c>
      <c r="B386" s="5" t="s">
        <v>827</v>
      </c>
      <c r="C386" s="5" t="s">
        <v>26</v>
      </c>
      <c r="D386" s="5" t="s">
        <v>1739</v>
      </c>
      <c r="E386" s="5">
        <v>2</v>
      </c>
      <c r="F386" s="5" t="s">
        <v>2071</v>
      </c>
    </row>
    <row r="387" spans="1:6">
      <c r="A387" s="5" t="s">
        <v>826</v>
      </c>
      <c r="B387" s="5" t="s">
        <v>827</v>
      </c>
      <c r="C387" s="5" t="s">
        <v>26</v>
      </c>
      <c r="D387" s="5" t="s">
        <v>1739</v>
      </c>
      <c r="E387" s="5">
        <v>3</v>
      </c>
      <c r="F387" s="5" t="s">
        <v>2072</v>
      </c>
    </row>
    <row r="388" spans="1:6">
      <c r="A388" s="5" t="s">
        <v>826</v>
      </c>
      <c r="B388" s="5" t="s">
        <v>827</v>
      </c>
      <c r="C388" s="5" t="s">
        <v>26</v>
      </c>
      <c r="D388" s="5" t="s">
        <v>1739</v>
      </c>
      <c r="E388" s="5">
        <v>4</v>
      </c>
      <c r="F388" s="5" t="s">
        <v>2073</v>
      </c>
    </row>
    <row r="389" spans="1:6">
      <c r="A389" s="5" t="s">
        <v>826</v>
      </c>
      <c r="B389" s="5" t="s">
        <v>827</v>
      </c>
      <c r="C389" s="5" t="s">
        <v>26</v>
      </c>
      <c r="D389" s="5" t="s">
        <v>1743</v>
      </c>
      <c r="E389" s="5">
        <v>1</v>
      </c>
      <c r="F389" s="5" t="s">
        <v>2074</v>
      </c>
    </row>
    <row r="390" spans="1:6">
      <c r="A390" s="5" t="s">
        <v>826</v>
      </c>
      <c r="B390" s="5" t="s">
        <v>827</v>
      </c>
      <c r="C390" s="5" t="s">
        <v>26</v>
      </c>
      <c r="D390" s="5" t="s">
        <v>1748</v>
      </c>
      <c r="E390" s="5">
        <v>1</v>
      </c>
      <c r="F390" s="5" t="s">
        <v>2075</v>
      </c>
    </row>
    <row r="391" spans="1:6">
      <c r="A391" s="5" t="s">
        <v>841</v>
      </c>
      <c r="B391" s="5" t="s">
        <v>842</v>
      </c>
      <c r="C391" s="5" t="s">
        <v>26</v>
      </c>
      <c r="D391" s="5" t="s">
        <v>1735</v>
      </c>
      <c r="E391" s="5">
        <v>1</v>
      </c>
      <c r="F391" s="5" t="s">
        <v>1850</v>
      </c>
    </row>
    <row r="392" spans="1:6">
      <c r="A392" s="5" t="s">
        <v>841</v>
      </c>
      <c r="B392" s="5" t="s">
        <v>842</v>
      </c>
      <c r="C392" s="5" t="s">
        <v>26</v>
      </c>
      <c r="D392" s="5" t="s">
        <v>1735</v>
      </c>
      <c r="E392" s="5">
        <v>2</v>
      </c>
      <c r="F392" s="5" t="s">
        <v>1771</v>
      </c>
    </row>
    <row r="393" spans="1:6">
      <c r="A393" s="5" t="s">
        <v>841</v>
      </c>
      <c r="B393" s="5" t="s">
        <v>842</v>
      </c>
      <c r="C393" s="5" t="s">
        <v>26</v>
      </c>
      <c r="D393" s="5" t="s">
        <v>1735</v>
      </c>
      <c r="E393" s="5">
        <v>3</v>
      </c>
      <c r="F393" s="5" t="s">
        <v>2076</v>
      </c>
    </row>
    <row r="394" spans="1:6">
      <c r="A394" s="5" t="s">
        <v>841</v>
      </c>
      <c r="B394" s="5" t="s">
        <v>842</v>
      </c>
      <c r="C394" s="5" t="s">
        <v>26</v>
      </c>
      <c r="D394" s="5" t="s">
        <v>1735</v>
      </c>
      <c r="E394" s="5">
        <v>4</v>
      </c>
      <c r="F394" s="5" t="s">
        <v>2077</v>
      </c>
    </row>
    <row r="395" spans="1:6">
      <c r="A395" s="5" t="s">
        <v>841</v>
      </c>
      <c r="B395" s="5" t="s">
        <v>842</v>
      </c>
      <c r="C395" s="5" t="s">
        <v>26</v>
      </c>
      <c r="D395" s="5" t="s">
        <v>1735</v>
      </c>
      <c r="E395" s="5">
        <v>5</v>
      </c>
      <c r="F395" s="5" t="s">
        <v>2078</v>
      </c>
    </row>
    <row r="396" spans="1:6">
      <c r="A396" s="5" t="s">
        <v>841</v>
      </c>
      <c r="B396" s="5" t="s">
        <v>842</v>
      </c>
      <c r="C396" s="5" t="s">
        <v>26</v>
      </c>
      <c r="D396" s="5" t="s">
        <v>1739</v>
      </c>
      <c r="E396" s="5">
        <v>1</v>
      </c>
      <c r="F396" s="5" t="s">
        <v>2079</v>
      </c>
    </row>
    <row r="397" spans="1:6">
      <c r="A397" s="5" t="s">
        <v>841</v>
      </c>
      <c r="B397" s="5" t="s">
        <v>842</v>
      </c>
      <c r="C397" s="5" t="s">
        <v>26</v>
      </c>
      <c r="D397" s="5" t="s">
        <v>1739</v>
      </c>
      <c r="E397" s="5">
        <v>2</v>
      </c>
      <c r="F397" s="5" t="s">
        <v>2080</v>
      </c>
    </row>
    <row r="398" spans="1:6">
      <c r="A398" s="5" t="s">
        <v>841</v>
      </c>
      <c r="B398" s="5" t="s">
        <v>842</v>
      </c>
      <c r="C398" s="5" t="s">
        <v>26</v>
      </c>
      <c r="D398" s="5" t="s">
        <v>1739</v>
      </c>
      <c r="E398" s="5">
        <v>3</v>
      </c>
      <c r="F398" s="5" t="s">
        <v>2081</v>
      </c>
    </row>
    <row r="399" spans="1:6">
      <c r="A399" s="5" t="s">
        <v>841</v>
      </c>
      <c r="B399" s="5" t="s">
        <v>842</v>
      </c>
      <c r="C399" s="5" t="s">
        <v>26</v>
      </c>
      <c r="D399" s="5" t="s">
        <v>1739</v>
      </c>
      <c r="E399" s="5">
        <v>4</v>
      </c>
      <c r="F399" s="5" t="s">
        <v>1600</v>
      </c>
    </row>
    <row r="400" spans="1:6">
      <c r="A400" s="5" t="s">
        <v>841</v>
      </c>
      <c r="B400" s="5" t="s">
        <v>842</v>
      </c>
      <c r="C400" s="5" t="s">
        <v>26</v>
      </c>
      <c r="D400" s="5" t="s">
        <v>1739</v>
      </c>
      <c r="E400" s="5">
        <v>5</v>
      </c>
      <c r="F400" s="5" t="s">
        <v>1595</v>
      </c>
    </row>
    <row r="401" spans="1:6">
      <c r="A401" s="5" t="s">
        <v>841</v>
      </c>
      <c r="B401" s="5" t="s">
        <v>842</v>
      </c>
      <c r="C401" s="5" t="s">
        <v>26</v>
      </c>
      <c r="D401" s="5" t="s">
        <v>1739</v>
      </c>
      <c r="E401" s="5">
        <v>6</v>
      </c>
      <c r="F401" s="5" t="s">
        <v>2082</v>
      </c>
    </row>
    <row r="402" spans="1:6">
      <c r="A402" s="5" t="s">
        <v>841</v>
      </c>
      <c r="B402" s="5" t="s">
        <v>842</v>
      </c>
      <c r="C402" s="5" t="s">
        <v>26</v>
      </c>
      <c r="D402" s="5" t="s">
        <v>1739</v>
      </c>
      <c r="E402" s="5">
        <v>7</v>
      </c>
      <c r="F402" s="5" t="s">
        <v>2083</v>
      </c>
    </row>
    <row r="403" spans="1:6">
      <c r="A403" s="5" t="s">
        <v>841</v>
      </c>
      <c r="B403" s="5" t="s">
        <v>842</v>
      </c>
      <c r="C403" s="5" t="s">
        <v>26</v>
      </c>
      <c r="D403" s="5" t="s">
        <v>1739</v>
      </c>
      <c r="E403" s="5">
        <v>8</v>
      </c>
      <c r="F403" s="5" t="s">
        <v>2084</v>
      </c>
    </row>
    <row r="404" spans="1:6">
      <c r="A404" s="5" t="s">
        <v>841</v>
      </c>
      <c r="B404" s="5" t="s">
        <v>842</v>
      </c>
      <c r="C404" s="5" t="s">
        <v>26</v>
      </c>
      <c r="D404" s="5" t="s">
        <v>1743</v>
      </c>
      <c r="E404" s="5">
        <v>1</v>
      </c>
      <c r="F404" s="5" t="s">
        <v>2085</v>
      </c>
    </row>
    <row r="405" spans="1:6">
      <c r="A405" s="5" t="s">
        <v>841</v>
      </c>
      <c r="B405" s="5" t="s">
        <v>842</v>
      </c>
      <c r="C405" s="5" t="s">
        <v>26</v>
      </c>
      <c r="D405" s="5" t="s">
        <v>1748</v>
      </c>
      <c r="E405" s="5">
        <v>1</v>
      </c>
      <c r="F405" s="5" t="s">
        <v>1494</v>
      </c>
    </row>
    <row r="406" spans="1:6">
      <c r="A406" s="5" t="s">
        <v>841</v>
      </c>
      <c r="B406" s="5" t="s">
        <v>842</v>
      </c>
      <c r="C406" s="5" t="s">
        <v>26</v>
      </c>
      <c r="D406" s="5" t="s">
        <v>1748</v>
      </c>
      <c r="E406" s="5">
        <v>2</v>
      </c>
      <c r="F406" s="5" t="s">
        <v>2086</v>
      </c>
    </row>
    <row r="407" spans="1:6">
      <c r="A407" s="5" t="s">
        <v>841</v>
      </c>
      <c r="B407" s="5" t="s">
        <v>842</v>
      </c>
      <c r="C407" s="5" t="s">
        <v>26</v>
      </c>
      <c r="D407" s="5" t="s">
        <v>1748</v>
      </c>
      <c r="E407" s="5">
        <v>3</v>
      </c>
      <c r="F407" s="5" t="s">
        <v>2087</v>
      </c>
    </row>
    <row r="408" spans="1:6">
      <c r="A408" s="5" t="s">
        <v>855</v>
      </c>
      <c r="B408" s="5" t="s">
        <v>856</v>
      </c>
      <c r="C408" s="5" t="s">
        <v>26</v>
      </c>
      <c r="D408" s="5" t="s">
        <v>1735</v>
      </c>
      <c r="E408" s="5">
        <v>1</v>
      </c>
      <c r="F408" s="5" t="s">
        <v>2088</v>
      </c>
    </row>
    <row r="409" spans="1:6">
      <c r="A409" s="5" t="s">
        <v>855</v>
      </c>
      <c r="B409" s="5" t="s">
        <v>856</v>
      </c>
      <c r="C409" s="5" t="s">
        <v>26</v>
      </c>
      <c r="D409" s="5" t="s">
        <v>1735</v>
      </c>
      <c r="E409" s="5">
        <v>2</v>
      </c>
      <c r="F409" s="5" t="s">
        <v>2089</v>
      </c>
    </row>
    <row r="410" spans="1:6">
      <c r="A410" s="5" t="s">
        <v>855</v>
      </c>
      <c r="B410" s="5" t="s">
        <v>856</v>
      </c>
      <c r="C410" s="5" t="s">
        <v>26</v>
      </c>
      <c r="D410" s="5" t="s">
        <v>1735</v>
      </c>
      <c r="E410" s="5">
        <v>3</v>
      </c>
      <c r="F410" s="5" t="s">
        <v>2090</v>
      </c>
    </row>
    <row r="411" spans="1:6">
      <c r="A411" s="5" t="s">
        <v>855</v>
      </c>
      <c r="B411" s="5" t="s">
        <v>856</v>
      </c>
      <c r="C411" s="5" t="s">
        <v>26</v>
      </c>
      <c r="D411" s="5" t="s">
        <v>1735</v>
      </c>
      <c r="E411" s="5">
        <v>4</v>
      </c>
      <c r="F411" s="5" t="s">
        <v>2091</v>
      </c>
    </row>
    <row r="412" spans="1:6">
      <c r="A412" s="5" t="s">
        <v>855</v>
      </c>
      <c r="B412" s="5" t="s">
        <v>856</v>
      </c>
      <c r="C412" s="5" t="s">
        <v>26</v>
      </c>
      <c r="D412" s="5" t="s">
        <v>1739</v>
      </c>
      <c r="E412" s="5">
        <v>1</v>
      </c>
      <c r="F412" s="5" t="s">
        <v>2092</v>
      </c>
    </row>
    <row r="413" spans="1:6">
      <c r="A413" s="5" t="s">
        <v>855</v>
      </c>
      <c r="B413" s="5" t="s">
        <v>856</v>
      </c>
      <c r="C413" s="5" t="s">
        <v>26</v>
      </c>
      <c r="D413" s="5" t="s">
        <v>1743</v>
      </c>
      <c r="E413" s="5">
        <v>1</v>
      </c>
      <c r="F413" s="5" t="s">
        <v>2093</v>
      </c>
    </row>
    <row r="414" spans="1:6">
      <c r="A414" s="5" t="s">
        <v>855</v>
      </c>
      <c r="B414" s="5" t="s">
        <v>856</v>
      </c>
      <c r="C414" s="5" t="s">
        <v>26</v>
      </c>
      <c r="D414" s="5" t="s">
        <v>1748</v>
      </c>
      <c r="E414" s="5">
        <v>1</v>
      </c>
      <c r="F414" s="5" t="s">
        <v>1828</v>
      </c>
    </row>
    <row r="415" spans="1:6">
      <c r="A415" s="5" t="s">
        <v>868</v>
      </c>
      <c r="B415" s="5" t="s">
        <v>869</v>
      </c>
      <c r="C415" s="5" t="s">
        <v>26</v>
      </c>
      <c r="D415" s="5" t="s">
        <v>1735</v>
      </c>
      <c r="E415" s="5">
        <v>1</v>
      </c>
      <c r="F415" s="5" t="s">
        <v>2069</v>
      </c>
    </row>
    <row r="416" spans="1:6">
      <c r="A416" s="5" t="s">
        <v>868</v>
      </c>
      <c r="B416" s="5" t="s">
        <v>869</v>
      </c>
      <c r="C416" s="5" t="s">
        <v>26</v>
      </c>
      <c r="D416" s="5" t="s">
        <v>1735</v>
      </c>
      <c r="E416" s="5">
        <v>2</v>
      </c>
      <c r="F416" s="5" t="s">
        <v>2094</v>
      </c>
    </row>
    <row r="417" spans="1:6">
      <c r="A417" s="5" t="s">
        <v>868</v>
      </c>
      <c r="B417" s="5" t="s">
        <v>869</v>
      </c>
      <c r="C417" s="5" t="s">
        <v>26</v>
      </c>
      <c r="D417" s="5" t="s">
        <v>1735</v>
      </c>
      <c r="E417" s="5">
        <v>3</v>
      </c>
      <c r="F417" s="5" t="s">
        <v>2095</v>
      </c>
    </row>
    <row r="418" spans="1:6">
      <c r="A418" s="5" t="s">
        <v>868</v>
      </c>
      <c r="B418" s="5" t="s">
        <v>869</v>
      </c>
      <c r="C418" s="5" t="s">
        <v>26</v>
      </c>
      <c r="D418" s="5" t="s">
        <v>1735</v>
      </c>
      <c r="E418" s="5">
        <v>4</v>
      </c>
      <c r="F418" s="5" t="s">
        <v>1751</v>
      </c>
    </row>
    <row r="419" spans="1:6">
      <c r="A419" s="5" t="s">
        <v>868</v>
      </c>
      <c r="B419" s="5" t="s">
        <v>869</v>
      </c>
      <c r="C419" s="5" t="s">
        <v>26</v>
      </c>
      <c r="D419" s="5" t="s">
        <v>1739</v>
      </c>
      <c r="E419" s="5">
        <v>1</v>
      </c>
      <c r="F419" s="5" t="s">
        <v>874</v>
      </c>
    </row>
    <row r="420" spans="1:6">
      <c r="A420" s="5" t="s">
        <v>868</v>
      </c>
      <c r="B420" s="5" t="s">
        <v>869</v>
      </c>
      <c r="C420" s="5" t="s">
        <v>26</v>
      </c>
      <c r="D420" s="5" t="s">
        <v>1743</v>
      </c>
      <c r="E420" s="5">
        <v>1</v>
      </c>
      <c r="F420" s="5" t="s">
        <v>2096</v>
      </c>
    </row>
    <row r="421" spans="1:6">
      <c r="A421" s="5" t="s">
        <v>868</v>
      </c>
      <c r="B421" s="5" t="s">
        <v>869</v>
      </c>
      <c r="C421" s="5" t="s">
        <v>26</v>
      </c>
      <c r="D421" s="5" t="s">
        <v>1748</v>
      </c>
      <c r="E421" s="5">
        <v>1</v>
      </c>
      <c r="F421" s="5" t="s">
        <v>2097</v>
      </c>
    </row>
    <row r="422" spans="1:6">
      <c r="A422" s="5" t="s">
        <v>882</v>
      </c>
      <c r="B422" s="5" t="s">
        <v>883</v>
      </c>
      <c r="C422" s="5" t="s">
        <v>26</v>
      </c>
      <c r="D422" s="5" t="s">
        <v>1735</v>
      </c>
      <c r="E422" s="5">
        <v>1</v>
      </c>
      <c r="F422" s="5" t="s">
        <v>1942</v>
      </c>
    </row>
    <row r="423" spans="1:6">
      <c r="A423" s="5" t="s">
        <v>882</v>
      </c>
      <c r="B423" s="5" t="s">
        <v>883</v>
      </c>
      <c r="C423" s="5" t="s">
        <v>26</v>
      </c>
      <c r="D423" s="5" t="s">
        <v>1735</v>
      </c>
      <c r="E423" s="5">
        <v>2</v>
      </c>
      <c r="F423" s="5" t="s">
        <v>1920</v>
      </c>
    </row>
    <row r="424" spans="1:6">
      <c r="A424" s="5" t="s">
        <v>882</v>
      </c>
      <c r="B424" s="5" t="s">
        <v>883</v>
      </c>
      <c r="C424" s="5" t="s">
        <v>26</v>
      </c>
      <c r="D424" s="5" t="s">
        <v>1735</v>
      </c>
      <c r="E424" s="5">
        <v>3</v>
      </c>
      <c r="F424" s="5" t="s">
        <v>2098</v>
      </c>
    </row>
    <row r="425" spans="1:6">
      <c r="A425" s="5" t="s">
        <v>882</v>
      </c>
      <c r="B425" s="5" t="s">
        <v>883</v>
      </c>
      <c r="C425" s="5" t="s">
        <v>26</v>
      </c>
      <c r="D425" s="5" t="s">
        <v>1735</v>
      </c>
      <c r="E425" s="5">
        <v>4</v>
      </c>
      <c r="F425" s="5" t="s">
        <v>2099</v>
      </c>
    </row>
    <row r="426" spans="1:6">
      <c r="A426" s="5" t="s">
        <v>882</v>
      </c>
      <c r="B426" s="5" t="s">
        <v>883</v>
      </c>
      <c r="C426" s="5" t="s">
        <v>26</v>
      </c>
      <c r="D426" s="5" t="s">
        <v>1739</v>
      </c>
      <c r="E426" s="5">
        <v>1</v>
      </c>
      <c r="F426" s="5" t="s">
        <v>2100</v>
      </c>
    </row>
    <row r="427" spans="1:6">
      <c r="A427" s="5" t="s">
        <v>882</v>
      </c>
      <c r="B427" s="5" t="s">
        <v>883</v>
      </c>
      <c r="C427" s="5" t="s">
        <v>26</v>
      </c>
      <c r="D427" s="5" t="s">
        <v>1739</v>
      </c>
      <c r="E427" s="5">
        <v>2</v>
      </c>
      <c r="F427" s="5" t="s">
        <v>1705</v>
      </c>
    </row>
    <row r="428" spans="1:6">
      <c r="A428" s="5" t="s">
        <v>882</v>
      </c>
      <c r="B428" s="5" t="s">
        <v>883</v>
      </c>
      <c r="C428" s="5" t="s">
        <v>26</v>
      </c>
      <c r="D428" s="5" t="s">
        <v>1739</v>
      </c>
      <c r="E428" s="5">
        <v>3</v>
      </c>
      <c r="F428" s="5" t="s">
        <v>2101</v>
      </c>
    </row>
    <row r="429" spans="1:6">
      <c r="A429" s="5" t="s">
        <v>882</v>
      </c>
      <c r="B429" s="5" t="s">
        <v>883</v>
      </c>
      <c r="C429" s="5" t="s">
        <v>26</v>
      </c>
      <c r="D429" s="5" t="s">
        <v>1739</v>
      </c>
      <c r="E429" s="5">
        <v>4</v>
      </c>
      <c r="F429" s="5" t="s">
        <v>2102</v>
      </c>
    </row>
    <row r="430" spans="1:6">
      <c r="A430" s="5" t="s">
        <v>882</v>
      </c>
      <c r="B430" s="5" t="s">
        <v>883</v>
      </c>
      <c r="C430" s="5" t="s">
        <v>26</v>
      </c>
      <c r="D430" s="5" t="s">
        <v>1743</v>
      </c>
      <c r="E430" s="5">
        <v>1</v>
      </c>
      <c r="F430" s="5" t="s">
        <v>2103</v>
      </c>
    </row>
    <row r="431" spans="1:6">
      <c r="A431" s="5" t="s">
        <v>882</v>
      </c>
      <c r="B431" s="5" t="s">
        <v>883</v>
      </c>
      <c r="C431" s="5" t="s">
        <v>26</v>
      </c>
      <c r="D431" s="5" t="s">
        <v>1748</v>
      </c>
      <c r="E431" s="5">
        <v>1</v>
      </c>
      <c r="F431" s="5" t="s">
        <v>2104</v>
      </c>
    </row>
    <row r="432" spans="1:6">
      <c r="A432" s="5" t="s">
        <v>895</v>
      </c>
      <c r="B432" s="5" t="s">
        <v>896</v>
      </c>
      <c r="C432" s="5" t="s">
        <v>26</v>
      </c>
      <c r="D432" s="5" t="s">
        <v>1735</v>
      </c>
      <c r="E432" s="5">
        <v>1</v>
      </c>
      <c r="F432" s="5" t="s">
        <v>2105</v>
      </c>
    </row>
    <row r="433" spans="1:6">
      <c r="A433" s="5" t="s">
        <v>895</v>
      </c>
      <c r="B433" s="5" t="s">
        <v>896</v>
      </c>
      <c r="C433" s="5" t="s">
        <v>26</v>
      </c>
      <c r="D433" s="5" t="s">
        <v>1735</v>
      </c>
      <c r="E433" s="5">
        <v>2</v>
      </c>
      <c r="F433" s="5" t="s">
        <v>2106</v>
      </c>
    </row>
    <row r="434" spans="1:6">
      <c r="A434" s="5" t="s">
        <v>895</v>
      </c>
      <c r="B434" s="5" t="s">
        <v>896</v>
      </c>
      <c r="C434" s="5" t="s">
        <v>26</v>
      </c>
      <c r="D434" s="5" t="s">
        <v>1735</v>
      </c>
      <c r="E434" s="5">
        <v>3</v>
      </c>
      <c r="F434" s="5" t="s">
        <v>1920</v>
      </c>
    </row>
    <row r="435" spans="1:6">
      <c r="A435" s="5" t="s">
        <v>895</v>
      </c>
      <c r="B435" s="5" t="s">
        <v>896</v>
      </c>
      <c r="C435" s="5" t="s">
        <v>26</v>
      </c>
      <c r="D435" s="5" t="s">
        <v>1735</v>
      </c>
      <c r="E435" s="5">
        <v>4</v>
      </c>
      <c r="F435" s="5" t="s">
        <v>2107</v>
      </c>
    </row>
    <row r="436" spans="1:6">
      <c r="A436" s="5" t="s">
        <v>895</v>
      </c>
      <c r="B436" s="5" t="s">
        <v>896</v>
      </c>
      <c r="C436" s="5" t="s">
        <v>26</v>
      </c>
      <c r="D436" s="5" t="s">
        <v>1739</v>
      </c>
      <c r="E436" s="5">
        <v>1</v>
      </c>
      <c r="F436" s="5" t="s">
        <v>2108</v>
      </c>
    </row>
    <row r="437" spans="1:6">
      <c r="A437" s="5" t="s">
        <v>895</v>
      </c>
      <c r="B437" s="5" t="s">
        <v>896</v>
      </c>
      <c r="C437" s="5" t="s">
        <v>26</v>
      </c>
      <c r="D437" s="5" t="s">
        <v>1739</v>
      </c>
      <c r="E437" s="5">
        <v>2</v>
      </c>
      <c r="F437" s="5" t="s">
        <v>2028</v>
      </c>
    </row>
    <row r="438" spans="1:6">
      <c r="A438" s="5" t="s">
        <v>895</v>
      </c>
      <c r="B438" s="5" t="s">
        <v>896</v>
      </c>
      <c r="C438" s="5" t="s">
        <v>26</v>
      </c>
      <c r="D438" s="5" t="s">
        <v>1739</v>
      </c>
      <c r="E438" s="5">
        <v>3</v>
      </c>
      <c r="F438" s="5" t="s">
        <v>1909</v>
      </c>
    </row>
    <row r="439" spans="1:6">
      <c r="A439" s="5" t="s">
        <v>895</v>
      </c>
      <c r="B439" s="5" t="s">
        <v>896</v>
      </c>
      <c r="C439" s="5" t="s">
        <v>26</v>
      </c>
      <c r="D439" s="5" t="s">
        <v>1739</v>
      </c>
      <c r="E439" s="5">
        <v>4</v>
      </c>
      <c r="F439" s="5" t="s">
        <v>2109</v>
      </c>
    </row>
    <row r="440" spans="1:6">
      <c r="A440" s="5" t="s">
        <v>895</v>
      </c>
      <c r="B440" s="5" t="s">
        <v>896</v>
      </c>
      <c r="C440" s="5" t="s">
        <v>26</v>
      </c>
      <c r="D440" s="5" t="s">
        <v>1739</v>
      </c>
      <c r="E440" s="5">
        <v>5</v>
      </c>
      <c r="F440" s="5" t="s">
        <v>2110</v>
      </c>
    </row>
    <row r="441" spans="1:6">
      <c r="A441" s="5" t="s">
        <v>895</v>
      </c>
      <c r="B441" s="5" t="s">
        <v>896</v>
      </c>
      <c r="C441" s="5" t="s">
        <v>26</v>
      </c>
      <c r="D441" s="5" t="s">
        <v>1739</v>
      </c>
      <c r="E441" s="5">
        <v>6</v>
      </c>
      <c r="F441" s="5" t="s">
        <v>2111</v>
      </c>
    </row>
    <row r="442" spans="1:6">
      <c r="A442" s="5" t="s">
        <v>895</v>
      </c>
      <c r="B442" s="5" t="s">
        <v>896</v>
      </c>
      <c r="C442" s="5" t="s">
        <v>26</v>
      </c>
      <c r="D442" s="5" t="s">
        <v>1743</v>
      </c>
      <c r="E442" s="5">
        <v>1</v>
      </c>
      <c r="F442" s="5" t="s">
        <v>2112</v>
      </c>
    </row>
    <row r="443" spans="1:6">
      <c r="A443" s="5" t="s">
        <v>895</v>
      </c>
      <c r="B443" s="5" t="s">
        <v>896</v>
      </c>
      <c r="C443" s="5" t="s">
        <v>26</v>
      </c>
      <c r="D443" s="5" t="s">
        <v>1748</v>
      </c>
      <c r="E443" s="5">
        <v>1</v>
      </c>
      <c r="F443" s="5" t="s">
        <v>2113</v>
      </c>
    </row>
    <row r="444" spans="1:6">
      <c r="A444" s="5" t="s">
        <v>908</v>
      </c>
      <c r="B444" s="5" t="s">
        <v>909</v>
      </c>
      <c r="C444" s="5" t="s">
        <v>26</v>
      </c>
      <c r="D444" s="5" t="s">
        <v>1735</v>
      </c>
      <c r="E444" s="5">
        <v>1</v>
      </c>
      <c r="F444" s="5" t="s">
        <v>1784</v>
      </c>
    </row>
    <row r="445" spans="1:6">
      <c r="A445" s="5" t="s">
        <v>908</v>
      </c>
      <c r="B445" s="5" t="s">
        <v>909</v>
      </c>
      <c r="C445" s="5" t="s">
        <v>26</v>
      </c>
      <c r="D445" s="5" t="s">
        <v>1735</v>
      </c>
      <c r="E445" s="5">
        <v>2</v>
      </c>
      <c r="F445" s="5" t="s">
        <v>1812</v>
      </c>
    </row>
    <row r="446" spans="1:6">
      <c r="A446" s="5" t="s">
        <v>908</v>
      </c>
      <c r="B446" s="5" t="s">
        <v>909</v>
      </c>
      <c r="C446" s="5" t="s">
        <v>26</v>
      </c>
      <c r="D446" s="5" t="s">
        <v>1735</v>
      </c>
      <c r="E446" s="5">
        <v>3</v>
      </c>
      <c r="F446" s="5" t="s">
        <v>2114</v>
      </c>
    </row>
    <row r="447" spans="1:6">
      <c r="A447" s="5" t="s">
        <v>908</v>
      </c>
      <c r="B447" s="5" t="s">
        <v>909</v>
      </c>
      <c r="C447" s="5" t="s">
        <v>26</v>
      </c>
      <c r="D447" s="5" t="s">
        <v>1739</v>
      </c>
      <c r="E447" s="5">
        <v>1</v>
      </c>
      <c r="F447" s="5" t="s">
        <v>2115</v>
      </c>
    </row>
    <row r="448" spans="1:6">
      <c r="A448" s="5" t="s">
        <v>908</v>
      </c>
      <c r="B448" s="5" t="s">
        <v>909</v>
      </c>
      <c r="C448" s="5" t="s">
        <v>26</v>
      </c>
      <c r="D448" s="5" t="s">
        <v>1739</v>
      </c>
      <c r="E448" s="5">
        <v>2</v>
      </c>
      <c r="F448" s="5" t="s">
        <v>1689</v>
      </c>
    </row>
    <row r="449" spans="1:6">
      <c r="A449" s="5" t="s">
        <v>908</v>
      </c>
      <c r="B449" s="5" t="s">
        <v>909</v>
      </c>
      <c r="C449" s="5" t="s">
        <v>26</v>
      </c>
      <c r="D449" s="5" t="s">
        <v>1739</v>
      </c>
      <c r="E449" s="5">
        <v>3</v>
      </c>
      <c r="F449" s="5" t="s">
        <v>2116</v>
      </c>
    </row>
    <row r="450" spans="1:6">
      <c r="A450" s="5" t="s">
        <v>908</v>
      </c>
      <c r="B450" s="5" t="s">
        <v>909</v>
      </c>
      <c r="C450" s="5" t="s">
        <v>26</v>
      </c>
      <c r="D450" s="5" t="s">
        <v>1739</v>
      </c>
      <c r="E450" s="5">
        <v>4</v>
      </c>
      <c r="F450" s="5" t="s">
        <v>2117</v>
      </c>
    </row>
    <row r="451" spans="1:6">
      <c r="A451" s="5" t="s">
        <v>908</v>
      </c>
      <c r="B451" s="5" t="s">
        <v>909</v>
      </c>
      <c r="C451" s="5" t="s">
        <v>26</v>
      </c>
      <c r="D451" s="5" t="s">
        <v>1743</v>
      </c>
      <c r="E451" s="5">
        <v>1</v>
      </c>
      <c r="F451" s="5" t="s">
        <v>2118</v>
      </c>
    </row>
    <row r="452" spans="1:6">
      <c r="A452" s="5" t="s">
        <v>908</v>
      </c>
      <c r="B452" s="5" t="s">
        <v>909</v>
      </c>
      <c r="C452" s="5" t="s">
        <v>26</v>
      </c>
      <c r="D452" s="5" t="s">
        <v>1743</v>
      </c>
      <c r="E452" s="5">
        <v>2</v>
      </c>
      <c r="F452" s="5" t="s">
        <v>2119</v>
      </c>
    </row>
    <row r="453" spans="1:6">
      <c r="A453" s="5" t="s">
        <v>908</v>
      </c>
      <c r="B453" s="5" t="s">
        <v>909</v>
      </c>
      <c r="C453" s="5" t="s">
        <v>26</v>
      </c>
      <c r="D453" s="5" t="s">
        <v>1748</v>
      </c>
      <c r="E453" s="5">
        <v>1</v>
      </c>
      <c r="F453" s="5" t="s">
        <v>2120</v>
      </c>
    </row>
    <row r="454" spans="1:6">
      <c r="A454" s="5" t="s">
        <v>921</v>
      </c>
      <c r="B454" s="5" t="s">
        <v>922</v>
      </c>
      <c r="C454" s="5" t="s">
        <v>13</v>
      </c>
      <c r="D454" s="5" t="s">
        <v>1735</v>
      </c>
      <c r="E454" s="5">
        <v>1</v>
      </c>
      <c r="F454" s="5" t="s">
        <v>1751</v>
      </c>
    </row>
    <row r="455" spans="1:6">
      <c r="A455" s="5" t="s">
        <v>921</v>
      </c>
      <c r="B455" s="5" t="s">
        <v>922</v>
      </c>
      <c r="C455" s="5" t="s">
        <v>13</v>
      </c>
      <c r="D455" s="5" t="s">
        <v>1735</v>
      </c>
      <c r="E455" s="5">
        <v>2</v>
      </c>
      <c r="F455" s="5" t="s">
        <v>2121</v>
      </c>
    </row>
    <row r="456" spans="1:6">
      <c r="A456" s="5" t="s">
        <v>921</v>
      </c>
      <c r="B456" s="5" t="s">
        <v>922</v>
      </c>
      <c r="C456" s="5" t="s">
        <v>13</v>
      </c>
      <c r="D456" s="5" t="s">
        <v>1735</v>
      </c>
      <c r="E456" s="5">
        <v>3</v>
      </c>
      <c r="F456" s="5" t="s">
        <v>2122</v>
      </c>
    </row>
    <row r="457" spans="1:6">
      <c r="A457" s="5" t="s">
        <v>921</v>
      </c>
      <c r="B457" s="5" t="s">
        <v>922</v>
      </c>
      <c r="C457" s="5" t="s">
        <v>13</v>
      </c>
      <c r="D457" s="5" t="s">
        <v>1735</v>
      </c>
      <c r="E457" s="5">
        <v>4</v>
      </c>
      <c r="F457" s="5" t="s">
        <v>1760</v>
      </c>
    </row>
    <row r="458" spans="1:6">
      <c r="A458" s="5" t="s">
        <v>921</v>
      </c>
      <c r="B458" s="5" t="s">
        <v>922</v>
      </c>
      <c r="C458" s="5" t="s">
        <v>13</v>
      </c>
      <c r="D458" s="5" t="s">
        <v>1739</v>
      </c>
      <c r="E458" s="5">
        <v>1</v>
      </c>
      <c r="F458" s="5" t="s">
        <v>2123</v>
      </c>
    </row>
    <row r="459" spans="1:6">
      <c r="A459" s="5" t="s">
        <v>921</v>
      </c>
      <c r="B459" s="5" t="s">
        <v>922</v>
      </c>
      <c r="C459" s="5" t="s">
        <v>13</v>
      </c>
      <c r="D459" s="5" t="s">
        <v>1743</v>
      </c>
      <c r="E459" s="5">
        <v>1</v>
      </c>
      <c r="F459" s="5" t="s">
        <v>2124</v>
      </c>
    </row>
    <row r="460" spans="1:6">
      <c r="A460" s="5" t="s">
        <v>921</v>
      </c>
      <c r="B460" s="5" t="s">
        <v>922</v>
      </c>
      <c r="C460" s="5" t="s">
        <v>13</v>
      </c>
      <c r="D460" s="5" t="s">
        <v>1748</v>
      </c>
      <c r="E460" s="5">
        <v>1</v>
      </c>
      <c r="F460" s="5" t="s">
        <v>2125</v>
      </c>
    </row>
    <row r="461" spans="1:6">
      <c r="A461" s="5" t="s">
        <v>936</v>
      </c>
      <c r="B461" s="5" t="s">
        <v>937</v>
      </c>
      <c r="C461" s="5" t="s">
        <v>13</v>
      </c>
      <c r="D461" s="5" t="s">
        <v>1735</v>
      </c>
      <c r="E461" s="5">
        <v>1</v>
      </c>
      <c r="F461" s="5" t="s">
        <v>1781</v>
      </c>
    </row>
    <row r="462" spans="1:6">
      <c r="A462" s="5" t="s">
        <v>936</v>
      </c>
      <c r="B462" s="5" t="s">
        <v>937</v>
      </c>
      <c r="C462" s="5" t="s">
        <v>13</v>
      </c>
      <c r="D462" s="5" t="s">
        <v>1735</v>
      </c>
      <c r="E462" s="5">
        <v>2</v>
      </c>
      <c r="F462" s="5" t="s">
        <v>2126</v>
      </c>
    </row>
    <row r="463" spans="1:6">
      <c r="A463" s="5" t="s">
        <v>936</v>
      </c>
      <c r="B463" s="5" t="s">
        <v>937</v>
      </c>
      <c r="C463" s="5" t="s">
        <v>13</v>
      </c>
      <c r="D463" s="5" t="s">
        <v>1735</v>
      </c>
      <c r="E463" s="5">
        <v>3</v>
      </c>
      <c r="F463" s="5" t="s">
        <v>263</v>
      </c>
    </row>
    <row r="464" spans="1:6">
      <c r="A464" s="5" t="s">
        <v>936</v>
      </c>
      <c r="B464" s="5" t="s">
        <v>937</v>
      </c>
      <c r="C464" s="5" t="s">
        <v>13</v>
      </c>
      <c r="D464" s="5" t="s">
        <v>1735</v>
      </c>
      <c r="E464" s="5">
        <v>4</v>
      </c>
      <c r="F464" s="5" t="s">
        <v>2127</v>
      </c>
    </row>
    <row r="465" spans="1:6">
      <c r="A465" s="5" t="s">
        <v>936</v>
      </c>
      <c r="B465" s="5" t="s">
        <v>937</v>
      </c>
      <c r="C465" s="5" t="s">
        <v>13</v>
      </c>
      <c r="D465" s="5" t="s">
        <v>1735</v>
      </c>
      <c r="E465" s="5">
        <v>5</v>
      </c>
      <c r="F465" s="5" t="s">
        <v>1771</v>
      </c>
    </row>
    <row r="466" spans="1:6">
      <c r="A466" s="5" t="s">
        <v>936</v>
      </c>
      <c r="B466" s="5" t="s">
        <v>937</v>
      </c>
      <c r="C466" s="5" t="s">
        <v>13</v>
      </c>
      <c r="D466" s="5" t="s">
        <v>1739</v>
      </c>
      <c r="E466" s="5">
        <v>1</v>
      </c>
      <c r="F466" s="5" t="s">
        <v>2128</v>
      </c>
    </row>
    <row r="467" spans="1:6">
      <c r="A467" s="5" t="s">
        <v>936</v>
      </c>
      <c r="B467" s="5" t="s">
        <v>937</v>
      </c>
      <c r="C467" s="5" t="s">
        <v>13</v>
      </c>
      <c r="D467" s="5" t="s">
        <v>1739</v>
      </c>
      <c r="E467" s="5">
        <v>2</v>
      </c>
      <c r="F467" s="5" t="s">
        <v>2129</v>
      </c>
    </row>
    <row r="468" spans="1:6">
      <c r="A468" s="5" t="s">
        <v>936</v>
      </c>
      <c r="B468" s="5" t="s">
        <v>937</v>
      </c>
      <c r="C468" s="5" t="s">
        <v>13</v>
      </c>
      <c r="D468" s="5" t="s">
        <v>1739</v>
      </c>
      <c r="E468" s="5">
        <v>3</v>
      </c>
      <c r="F468" s="5" t="s">
        <v>2049</v>
      </c>
    </row>
    <row r="469" spans="1:6">
      <c r="A469" s="5" t="s">
        <v>936</v>
      </c>
      <c r="B469" s="5" t="s">
        <v>937</v>
      </c>
      <c r="C469" s="5" t="s">
        <v>13</v>
      </c>
      <c r="D469" s="5" t="s">
        <v>1739</v>
      </c>
      <c r="E469" s="5">
        <v>4</v>
      </c>
      <c r="F469" s="5" t="s">
        <v>2130</v>
      </c>
    </row>
    <row r="470" spans="1:6">
      <c r="A470" s="5" t="s">
        <v>936</v>
      </c>
      <c r="B470" s="5" t="s">
        <v>937</v>
      </c>
      <c r="C470" s="5" t="s">
        <v>13</v>
      </c>
      <c r="D470" s="5" t="s">
        <v>1739</v>
      </c>
      <c r="E470" s="5">
        <v>5</v>
      </c>
      <c r="F470" s="5" t="s">
        <v>2131</v>
      </c>
    </row>
    <row r="471" spans="1:6">
      <c r="A471" s="5" t="s">
        <v>936</v>
      </c>
      <c r="B471" s="5" t="s">
        <v>937</v>
      </c>
      <c r="C471" s="5" t="s">
        <v>13</v>
      </c>
      <c r="D471" s="5" t="s">
        <v>1739</v>
      </c>
      <c r="E471" s="5">
        <v>6</v>
      </c>
      <c r="F471" s="5" t="s">
        <v>1600</v>
      </c>
    </row>
    <row r="472" spans="1:6">
      <c r="A472" s="5" t="s">
        <v>936</v>
      </c>
      <c r="B472" s="5" t="s">
        <v>937</v>
      </c>
      <c r="C472" s="5" t="s">
        <v>13</v>
      </c>
      <c r="D472" s="5" t="s">
        <v>1739</v>
      </c>
      <c r="E472" s="5">
        <v>7</v>
      </c>
      <c r="F472" s="5" t="s">
        <v>1595</v>
      </c>
    </row>
    <row r="473" spans="1:6">
      <c r="A473" s="5" t="s">
        <v>936</v>
      </c>
      <c r="B473" s="5" t="s">
        <v>937</v>
      </c>
      <c r="C473" s="5" t="s">
        <v>13</v>
      </c>
      <c r="D473" s="5" t="s">
        <v>1739</v>
      </c>
      <c r="E473" s="5">
        <v>8</v>
      </c>
      <c r="F473" s="5" t="s">
        <v>2084</v>
      </c>
    </row>
    <row r="474" spans="1:6">
      <c r="A474" s="5" t="s">
        <v>936</v>
      </c>
      <c r="B474" s="5" t="s">
        <v>937</v>
      </c>
      <c r="C474" s="5" t="s">
        <v>13</v>
      </c>
      <c r="D474" s="5" t="s">
        <v>1743</v>
      </c>
      <c r="E474" s="5">
        <v>1</v>
      </c>
      <c r="F474" s="5" t="s">
        <v>2132</v>
      </c>
    </row>
    <row r="475" spans="1:6">
      <c r="A475" s="5" t="s">
        <v>936</v>
      </c>
      <c r="B475" s="5" t="s">
        <v>937</v>
      </c>
      <c r="C475" s="5" t="s">
        <v>13</v>
      </c>
      <c r="D475" s="5" t="s">
        <v>1748</v>
      </c>
      <c r="E475" s="5">
        <v>1</v>
      </c>
      <c r="F475" s="5" t="s">
        <v>2133</v>
      </c>
    </row>
    <row r="476" spans="1:6">
      <c r="A476" s="5" t="s">
        <v>936</v>
      </c>
      <c r="B476" s="5" t="s">
        <v>937</v>
      </c>
      <c r="C476" s="5" t="s">
        <v>13</v>
      </c>
      <c r="D476" s="5" t="s">
        <v>1748</v>
      </c>
      <c r="E476" s="5">
        <v>2</v>
      </c>
      <c r="F476" s="5" t="s">
        <v>2134</v>
      </c>
    </row>
    <row r="477" spans="1:6">
      <c r="A477" s="5" t="s">
        <v>950</v>
      </c>
      <c r="B477" s="5" t="s">
        <v>951</v>
      </c>
      <c r="C477" s="5" t="s">
        <v>13</v>
      </c>
      <c r="D477" s="5" t="s">
        <v>1735</v>
      </c>
      <c r="E477" s="5">
        <v>1</v>
      </c>
      <c r="F477" s="5" t="s">
        <v>2135</v>
      </c>
    </row>
    <row r="478" spans="1:6">
      <c r="A478" s="5" t="s">
        <v>950</v>
      </c>
      <c r="B478" s="5" t="s">
        <v>951</v>
      </c>
      <c r="C478" s="5" t="s">
        <v>13</v>
      </c>
      <c r="D478" s="5" t="s">
        <v>1735</v>
      </c>
      <c r="E478" s="5">
        <v>2</v>
      </c>
      <c r="F478" s="5" t="s">
        <v>2136</v>
      </c>
    </row>
    <row r="479" spans="1:6">
      <c r="A479" s="5" t="s">
        <v>950</v>
      </c>
      <c r="B479" s="5" t="s">
        <v>951</v>
      </c>
      <c r="C479" s="5" t="s">
        <v>13</v>
      </c>
      <c r="D479" s="5" t="s">
        <v>1735</v>
      </c>
      <c r="E479" s="5">
        <v>3</v>
      </c>
      <c r="F479" s="5" t="s">
        <v>2137</v>
      </c>
    </row>
    <row r="480" spans="1:6">
      <c r="A480" s="5" t="s">
        <v>950</v>
      </c>
      <c r="B480" s="5" t="s">
        <v>951</v>
      </c>
      <c r="C480" s="5" t="s">
        <v>13</v>
      </c>
      <c r="D480" s="5" t="s">
        <v>1739</v>
      </c>
      <c r="E480" s="5">
        <v>1</v>
      </c>
      <c r="F480" s="5" t="s">
        <v>2138</v>
      </c>
    </row>
    <row r="481" spans="1:6">
      <c r="A481" s="5" t="s">
        <v>950</v>
      </c>
      <c r="B481" s="5" t="s">
        <v>951</v>
      </c>
      <c r="C481" s="5" t="s">
        <v>13</v>
      </c>
      <c r="D481" s="5" t="s">
        <v>1743</v>
      </c>
      <c r="E481" s="5">
        <v>1</v>
      </c>
      <c r="F481" s="5" t="s">
        <v>2139</v>
      </c>
    </row>
    <row r="482" spans="1:6">
      <c r="A482" s="5" t="s">
        <v>950</v>
      </c>
      <c r="B482" s="5" t="s">
        <v>951</v>
      </c>
      <c r="C482" s="5" t="s">
        <v>13</v>
      </c>
      <c r="D482" s="5" t="s">
        <v>1748</v>
      </c>
      <c r="E482" s="5">
        <v>1</v>
      </c>
      <c r="F482" s="5" t="s">
        <v>2140</v>
      </c>
    </row>
    <row r="483" spans="1:6">
      <c r="A483" s="5" t="s">
        <v>964</v>
      </c>
      <c r="B483" s="5" t="s">
        <v>965</v>
      </c>
      <c r="C483" s="5" t="s">
        <v>13</v>
      </c>
      <c r="D483" s="5" t="s">
        <v>1735</v>
      </c>
      <c r="E483" s="5">
        <v>1</v>
      </c>
      <c r="F483" s="5" t="s">
        <v>1769</v>
      </c>
    </row>
    <row r="484" spans="1:6">
      <c r="A484" s="5" t="s">
        <v>964</v>
      </c>
      <c r="B484" s="5" t="s">
        <v>965</v>
      </c>
      <c r="C484" s="5" t="s">
        <v>13</v>
      </c>
      <c r="D484" s="5" t="s">
        <v>1735</v>
      </c>
      <c r="E484" s="5">
        <v>2</v>
      </c>
      <c r="F484" s="5" t="s">
        <v>2141</v>
      </c>
    </row>
    <row r="485" spans="1:6">
      <c r="A485" s="5" t="s">
        <v>964</v>
      </c>
      <c r="B485" s="5" t="s">
        <v>965</v>
      </c>
      <c r="C485" s="5" t="s">
        <v>13</v>
      </c>
      <c r="D485" s="5" t="s">
        <v>1735</v>
      </c>
      <c r="E485" s="5">
        <v>3</v>
      </c>
      <c r="F485" s="5" t="s">
        <v>2142</v>
      </c>
    </row>
    <row r="486" spans="1:6">
      <c r="A486" s="5" t="s">
        <v>964</v>
      </c>
      <c r="B486" s="5" t="s">
        <v>965</v>
      </c>
      <c r="C486" s="5" t="s">
        <v>13</v>
      </c>
      <c r="D486" s="5" t="s">
        <v>1735</v>
      </c>
      <c r="E486" s="5">
        <v>4</v>
      </c>
      <c r="F486" s="5" t="s">
        <v>2143</v>
      </c>
    </row>
    <row r="487" spans="1:6">
      <c r="A487" s="5" t="s">
        <v>964</v>
      </c>
      <c r="B487" s="5" t="s">
        <v>965</v>
      </c>
      <c r="C487" s="5" t="s">
        <v>13</v>
      </c>
      <c r="D487" s="5" t="s">
        <v>1739</v>
      </c>
      <c r="E487" s="5">
        <v>1</v>
      </c>
      <c r="F487" s="5" t="s">
        <v>2144</v>
      </c>
    </row>
    <row r="488" spans="1:6">
      <c r="A488" s="5" t="s">
        <v>964</v>
      </c>
      <c r="B488" s="5" t="s">
        <v>965</v>
      </c>
      <c r="C488" s="5" t="s">
        <v>13</v>
      </c>
      <c r="D488" s="5" t="s">
        <v>1739</v>
      </c>
      <c r="E488" s="5">
        <v>2</v>
      </c>
      <c r="F488" s="5" t="s">
        <v>2145</v>
      </c>
    </row>
    <row r="489" spans="1:6">
      <c r="A489" s="5" t="s">
        <v>964</v>
      </c>
      <c r="B489" s="5" t="s">
        <v>965</v>
      </c>
      <c r="C489" s="5" t="s">
        <v>13</v>
      </c>
      <c r="D489" s="5" t="s">
        <v>1739</v>
      </c>
      <c r="E489" s="5">
        <v>3</v>
      </c>
      <c r="F489" s="5" t="s">
        <v>2146</v>
      </c>
    </row>
    <row r="490" spans="1:6">
      <c r="A490" s="5" t="s">
        <v>964</v>
      </c>
      <c r="B490" s="5" t="s">
        <v>965</v>
      </c>
      <c r="C490" s="5" t="s">
        <v>13</v>
      </c>
      <c r="D490" s="5" t="s">
        <v>1743</v>
      </c>
      <c r="E490" s="5">
        <v>1</v>
      </c>
      <c r="F490" s="5" t="s">
        <v>1832</v>
      </c>
    </row>
    <row r="491" spans="1:6">
      <c r="A491" s="5" t="s">
        <v>964</v>
      </c>
      <c r="B491" s="5" t="s">
        <v>965</v>
      </c>
      <c r="C491" s="5" t="s">
        <v>13</v>
      </c>
      <c r="D491" s="5" t="s">
        <v>1743</v>
      </c>
      <c r="E491" s="5">
        <v>2</v>
      </c>
      <c r="F491" s="5" t="s">
        <v>2147</v>
      </c>
    </row>
    <row r="492" spans="1:6">
      <c r="A492" s="5" t="s">
        <v>964</v>
      </c>
      <c r="B492" s="5" t="s">
        <v>965</v>
      </c>
      <c r="C492" s="5" t="s">
        <v>13</v>
      </c>
      <c r="D492" s="5" t="s">
        <v>1743</v>
      </c>
      <c r="E492" s="5">
        <v>3</v>
      </c>
      <c r="F492" s="5" t="s">
        <v>2148</v>
      </c>
    </row>
    <row r="493" spans="1:6">
      <c r="A493" s="5" t="s">
        <v>964</v>
      </c>
      <c r="B493" s="5" t="s">
        <v>965</v>
      </c>
      <c r="C493" s="5" t="s">
        <v>13</v>
      </c>
      <c r="D493" s="5" t="s">
        <v>1748</v>
      </c>
      <c r="E493" s="5">
        <v>1</v>
      </c>
      <c r="F493" s="5" t="s">
        <v>2149</v>
      </c>
    </row>
    <row r="494" spans="1:6">
      <c r="A494" s="5" t="s">
        <v>978</v>
      </c>
      <c r="B494" s="5" t="s">
        <v>979</v>
      </c>
      <c r="C494" s="5" t="s">
        <v>13</v>
      </c>
      <c r="D494" s="5" t="s">
        <v>1735</v>
      </c>
      <c r="E494" s="5">
        <v>1</v>
      </c>
      <c r="F494" s="5" t="s">
        <v>1920</v>
      </c>
    </row>
    <row r="495" spans="1:6">
      <c r="A495" s="5" t="s">
        <v>978</v>
      </c>
      <c r="B495" s="5" t="s">
        <v>979</v>
      </c>
      <c r="C495" s="5" t="s">
        <v>13</v>
      </c>
      <c r="D495" s="5" t="s">
        <v>1735</v>
      </c>
      <c r="E495" s="5">
        <v>2</v>
      </c>
      <c r="F495" s="5" t="s">
        <v>2150</v>
      </c>
    </row>
    <row r="496" spans="1:6">
      <c r="A496" s="5" t="s">
        <v>978</v>
      </c>
      <c r="B496" s="5" t="s">
        <v>979</v>
      </c>
      <c r="C496" s="5" t="s">
        <v>13</v>
      </c>
      <c r="D496" s="5" t="s">
        <v>1735</v>
      </c>
      <c r="E496" s="5">
        <v>3</v>
      </c>
      <c r="F496" s="5" t="s">
        <v>1936</v>
      </c>
    </row>
    <row r="497" spans="1:6">
      <c r="A497" s="5" t="s">
        <v>978</v>
      </c>
      <c r="B497" s="5" t="s">
        <v>979</v>
      </c>
      <c r="C497" s="5" t="s">
        <v>13</v>
      </c>
      <c r="D497" s="5" t="s">
        <v>1735</v>
      </c>
      <c r="E497" s="5">
        <v>4</v>
      </c>
      <c r="F497" s="5" t="s">
        <v>1935</v>
      </c>
    </row>
    <row r="498" spans="1:6">
      <c r="A498" s="5" t="s">
        <v>978</v>
      </c>
      <c r="B498" s="5" t="s">
        <v>979</v>
      </c>
      <c r="C498" s="5" t="s">
        <v>13</v>
      </c>
      <c r="D498" s="5" t="s">
        <v>1739</v>
      </c>
      <c r="E498" s="5">
        <v>1</v>
      </c>
      <c r="F498" s="5" t="s">
        <v>2151</v>
      </c>
    </row>
    <row r="499" spans="1:6">
      <c r="A499" s="5" t="s">
        <v>978</v>
      </c>
      <c r="B499" s="5" t="s">
        <v>979</v>
      </c>
      <c r="C499" s="5" t="s">
        <v>13</v>
      </c>
      <c r="D499" s="5" t="s">
        <v>1739</v>
      </c>
      <c r="E499" s="5">
        <v>2</v>
      </c>
      <c r="F499" s="5" t="s">
        <v>2152</v>
      </c>
    </row>
    <row r="500" spans="1:6">
      <c r="A500" s="5" t="s">
        <v>978</v>
      </c>
      <c r="B500" s="5" t="s">
        <v>979</v>
      </c>
      <c r="C500" s="5" t="s">
        <v>13</v>
      </c>
      <c r="D500" s="5" t="s">
        <v>1739</v>
      </c>
      <c r="E500" s="5">
        <v>3</v>
      </c>
      <c r="F500" s="5" t="s">
        <v>2153</v>
      </c>
    </row>
    <row r="501" spans="1:6">
      <c r="A501" s="5" t="s">
        <v>978</v>
      </c>
      <c r="B501" s="5" t="s">
        <v>979</v>
      </c>
      <c r="C501" s="5" t="s">
        <v>13</v>
      </c>
      <c r="D501" s="5" t="s">
        <v>1739</v>
      </c>
      <c r="E501" s="5">
        <v>4</v>
      </c>
      <c r="F501" s="5" t="s">
        <v>2154</v>
      </c>
    </row>
    <row r="502" spans="1:6">
      <c r="A502" s="5" t="s">
        <v>978</v>
      </c>
      <c r="B502" s="5" t="s">
        <v>979</v>
      </c>
      <c r="C502" s="5" t="s">
        <v>13</v>
      </c>
      <c r="D502" s="5" t="s">
        <v>1739</v>
      </c>
      <c r="E502" s="5">
        <v>5</v>
      </c>
      <c r="F502" s="5" t="s">
        <v>236</v>
      </c>
    </row>
    <row r="503" spans="1:6">
      <c r="A503" s="5" t="s">
        <v>978</v>
      </c>
      <c r="B503" s="5" t="s">
        <v>979</v>
      </c>
      <c r="C503" s="5" t="s">
        <v>13</v>
      </c>
      <c r="D503" s="5" t="s">
        <v>1739</v>
      </c>
      <c r="E503" s="5">
        <v>6</v>
      </c>
      <c r="F503" s="5" t="s">
        <v>1475</v>
      </c>
    </row>
    <row r="504" spans="1:6">
      <c r="A504" s="5" t="s">
        <v>978</v>
      </c>
      <c r="B504" s="5" t="s">
        <v>979</v>
      </c>
      <c r="C504" s="5" t="s">
        <v>13</v>
      </c>
      <c r="D504" s="5" t="s">
        <v>1743</v>
      </c>
      <c r="E504" s="5">
        <v>1</v>
      </c>
      <c r="F504" s="5" t="s">
        <v>2155</v>
      </c>
    </row>
    <row r="505" spans="1:6">
      <c r="A505" s="5" t="s">
        <v>978</v>
      </c>
      <c r="B505" s="5" t="s">
        <v>979</v>
      </c>
      <c r="C505" s="5" t="s">
        <v>13</v>
      </c>
      <c r="D505" s="5" t="s">
        <v>1743</v>
      </c>
      <c r="E505" s="5">
        <v>2</v>
      </c>
      <c r="F505" s="5" t="s">
        <v>2156</v>
      </c>
    </row>
    <row r="506" spans="1:6">
      <c r="A506" s="5" t="s">
        <v>978</v>
      </c>
      <c r="B506" s="5" t="s">
        <v>979</v>
      </c>
      <c r="C506" s="5" t="s">
        <v>13</v>
      </c>
      <c r="D506" s="5" t="s">
        <v>1748</v>
      </c>
      <c r="E506" s="5">
        <v>1</v>
      </c>
      <c r="F506" s="5" t="s">
        <v>2157</v>
      </c>
    </row>
    <row r="507" spans="1:6">
      <c r="A507" s="5" t="s">
        <v>991</v>
      </c>
      <c r="B507" s="5" t="s">
        <v>992</v>
      </c>
      <c r="C507" s="5" t="s">
        <v>13</v>
      </c>
      <c r="D507" s="5" t="s">
        <v>1735</v>
      </c>
      <c r="E507" s="5">
        <v>1</v>
      </c>
      <c r="F507" s="5" t="s">
        <v>2158</v>
      </c>
    </row>
    <row r="508" spans="1:6">
      <c r="A508" s="5" t="s">
        <v>991</v>
      </c>
      <c r="B508" s="5" t="s">
        <v>992</v>
      </c>
      <c r="C508" s="5" t="s">
        <v>13</v>
      </c>
      <c r="D508" s="5" t="s">
        <v>1735</v>
      </c>
      <c r="E508" s="5">
        <v>2</v>
      </c>
      <c r="F508" s="5" t="s">
        <v>2159</v>
      </c>
    </row>
    <row r="509" spans="1:6">
      <c r="A509" s="5" t="s">
        <v>991</v>
      </c>
      <c r="B509" s="5" t="s">
        <v>992</v>
      </c>
      <c r="C509" s="5" t="s">
        <v>13</v>
      </c>
      <c r="D509" s="5" t="s">
        <v>1735</v>
      </c>
      <c r="E509" s="5">
        <v>3</v>
      </c>
      <c r="F509" s="5" t="s">
        <v>2160</v>
      </c>
    </row>
    <row r="510" spans="1:6">
      <c r="A510" s="5" t="s">
        <v>991</v>
      </c>
      <c r="B510" s="5" t="s">
        <v>992</v>
      </c>
      <c r="C510" s="5" t="s">
        <v>13</v>
      </c>
      <c r="D510" s="5" t="s">
        <v>1739</v>
      </c>
      <c r="E510" s="5">
        <v>1</v>
      </c>
      <c r="F510" s="5" t="s">
        <v>2161</v>
      </c>
    </row>
    <row r="511" spans="1:6">
      <c r="A511" s="5" t="s">
        <v>991</v>
      </c>
      <c r="B511" s="5" t="s">
        <v>992</v>
      </c>
      <c r="C511" s="5" t="s">
        <v>13</v>
      </c>
      <c r="D511" s="5" t="s">
        <v>1739</v>
      </c>
      <c r="E511" s="5">
        <v>2</v>
      </c>
      <c r="F511" s="5" t="s">
        <v>2162</v>
      </c>
    </row>
    <row r="512" spans="1:6">
      <c r="A512" s="5" t="s">
        <v>991</v>
      </c>
      <c r="B512" s="5" t="s">
        <v>992</v>
      </c>
      <c r="C512" s="5" t="s">
        <v>13</v>
      </c>
      <c r="D512" s="5" t="s">
        <v>1739</v>
      </c>
      <c r="E512" s="5">
        <v>3</v>
      </c>
      <c r="F512" s="5" t="s">
        <v>2163</v>
      </c>
    </row>
    <row r="513" spans="1:6">
      <c r="A513" s="5" t="s">
        <v>991</v>
      </c>
      <c r="B513" s="5" t="s">
        <v>992</v>
      </c>
      <c r="C513" s="5" t="s">
        <v>13</v>
      </c>
      <c r="D513" s="5" t="s">
        <v>1739</v>
      </c>
      <c r="E513" s="5">
        <v>4</v>
      </c>
      <c r="F513" s="5" t="s">
        <v>2164</v>
      </c>
    </row>
    <row r="514" spans="1:6">
      <c r="A514" s="5" t="s">
        <v>991</v>
      </c>
      <c r="B514" s="5" t="s">
        <v>992</v>
      </c>
      <c r="C514" s="5" t="s">
        <v>13</v>
      </c>
      <c r="D514" s="5" t="s">
        <v>1743</v>
      </c>
      <c r="E514" s="5">
        <v>1</v>
      </c>
      <c r="F514" s="5" t="s">
        <v>2165</v>
      </c>
    </row>
    <row r="515" spans="1:6">
      <c r="A515" s="5" t="s">
        <v>991</v>
      </c>
      <c r="B515" s="5" t="s">
        <v>992</v>
      </c>
      <c r="C515" s="5" t="s">
        <v>13</v>
      </c>
      <c r="D515" s="5" t="s">
        <v>1743</v>
      </c>
      <c r="E515" s="5">
        <v>2</v>
      </c>
      <c r="F515" s="5" t="s">
        <v>2166</v>
      </c>
    </row>
    <row r="516" spans="1:6">
      <c r="A516" s="5" t="s">
        <v>991</v>
      </c>
      <c r="B516" s="5" t="s">
        <v>992</v>
      </c>
      <c r="C516" s="5" t="s">
        <v>13</v>
      </c>
      <c r="D516" s="5" t="s">
        <v>1748</v>
      </c>
      <c r="E516" s="5">
        <v>1</v>
      </c>
      <c r="F516" s="5" t="s">
        <v>2167</v>
      </c>
    </row>
    <row r="517" spans="1:6">
      <c r="A517" s="5" t="s">
        <v>1004</v>
      </c>
      <c r="B517" s="5" t="s">
        <v>1005</v>
      </c>
      <c r="C517" s="5" t="s">
        <v>13</v>
      </c>
      <c r="D517" s="5" t="s">
        <v>1735</v>
      </c>
      <c r="E517" s="5">
        <v>1</v>
      </c>
      <c r="F517" s="5" t="s">
        <v>2168</v>
      </c>
    </row>
    <row r="518" spans="1:6">
      <c r="A518" s="5" t="s">
        <v>1004</v>
      </c>
      <c r="B518" s="5" t="s">
        <v>1005</v>
      </c>
      <c r="C518" s="5" t="s">
        <v>13</v>
      </c>
      <c r="D518" s="5" t="s">
        <v>1735</v>
      </c>
      <c r="E518" s="5">
        <v>2</v>
      </c>
      <c r="F518" s="5" t="s">
        <v>1920</v>
      </c>
    </row>
    <row r="519" spans="1:6">
      <c r="A519" s="5" t="s">
        <v>1004</v>
      </c>
      <c r="B519" s="5" t="s">
        <v>1005</v>
      </c>
      <c r="C519" s="5" t="s">
        <v>13</v>
      </c>
      <c r="D519" s="5" t="s">
        <v>1735</v>
      </c>
      <c r="E519" s="5">
        <v>3</v>
      </c>
      <c r="F519" s="5" t="s">
        <v>1918</v>
      </c>
    </row>
    <row r="520" spans="1:6">
      <c r="A520" s="5" t="s">
        <v>1004</v>
      </c>
      <c r="B520" s="5" t="s">
        <v>1005</v>
      </c>
      <c r="C520" s="5" t="s">
        <v>13</v>
      </c>
      <c r="D520" s="5" t="s">
        <v>1735</v>
      </c>
      <c r="E520" s="5">
        <v>4</v>
      </c>
      <c r="F520" s="5" t="s">
        <v>1790</v>
      </c>
    </row>
    <row r="521" spans="1:6">
      <c r="A521" s="5" t="s">
        <v>1004</v>
      </c>
      <c r="B521" s="5" t="s">
        <v>1005</v>
      </c>
      <c r="C521" s="5" t="s">
        <v>13</v>
      </c>
      <c r="D521" s="5" t="s">
        <v>1739</v>
      </c>
      <c r="E521" s="5">
        <v>1</v>
      </c>
      <c r="F521" s="5" t="s">
        <v>2169</v>
      </c>
    </row>
    <row r="522" spans="1:6">
      <c r="A522" s="5" t="s">
        <v>1004</v>
      </c>
      <c r="B522" s="5" t="s">
        <v>1005</v>
      </c>
      <c r="C522" s="5" t="s">
        <v>13</v>
      </c>
      <c r="D522" s="5" t="s">
        <v>1739</v>
      </c>
      <c r="E522" s="5">
        <v>2</v>
      </c>
      <c r="F522" s="5" t="s">
        <v>2170</v>
      </c>
    </row>
    <row r="523" spans="1:6">
      <c r="A523" s="5" t="s">
        <v>1004</v>
      </c>
      <c r="B523" s="5" t="s">
        <v>1005</v>
      </c>
      <c r="C523" s="5" t="s">
        <v>13</v>
      </c>
      <c r="D523" s="5" t="s">
        <v>1739</v>
      </c>
      <c r="E523" s="5">
        <v>3</v>
      </c>
      <c r="F523" s="5" t="s">
        <v>2171</v>
      </c>
    </row>
    <row r="524" spans="1:6">
      <c r="A524" s="5" t="s">
        <v>1004</v>
      </c>
      <c r="B524" s="5" t="s">
        <v>1005</v>
      </c>
      <c r="C524" s="5" t="s">
        <v>13</v>
      </c>
      <c r="D524" s="5" t="s">
        <v>1739</v>
      </c>
      <c r="E524" s="5">
        <v>4</v>
      </c>
      <c r="F524" s="5" t="s">
        <v>2172</v>
      </c>
    </row>
    <row r="525" spans="1:6">
      <c r="A525" s="5" t="s">
        <v>1004</v>
      </c>
      <c r="B525" s="5" t="s">
        <v>1005</v>
      </c>
      <c r="C525" s="5" t="s">
        <v>13</v>
      </c>
      <c r="D525" s="5" t="s">
        <v>1743</v>
      </c>
      <c r="E525" s="5">
        <v>1</v>
      </c>
      <c r="F525" s="5" t="s">
        <v>2173</v>
      </c>
    </row>
    <row r="526" spans="1:6">
      <c r="A526" s="5" t="s">
        <v>1004</v>
      </c>
      <c r="B526" s="5" t="s">
        <v>1005</v>
      </c>
      <c r="C526" s="5" t="s">
        <v>13</v>
      </c>
      <c r="D526" s="5" t="s">
        <v>1743</v>
      </c>
      <c r="E526" s="5">
        <v>2</v>
      </c>
      <c r="F526" s="5" t="s">
        <v>2174</v>
      </c>
    </row>
    <row r="527" spans="1:6">
      <c r="A527" s="5" t="s">
        <v>1004</v>
      </c>
      <c r="B527" s="5" t="s">
        <v>1005</v>
      </c>
      <c r="C527" s="5" t="s">
        <v>13</v>
      </c>
      <c r="D527" s="5" t="s">
        <v>1748</v>
      </c>
      <c r="E527" s="5">
        <v>1</v>
      </c>
      <c r="F527" s="5" t="s">
        <v>1822</v>
      </c>
    </row>
    <row r="528" spans="1:6">
      <c r="A528" s="5" t="s">
        <v>1016</v>
      </c>
      <c r="B528" s="5" t="s">
        <v>1017</v>
      </c>
      <c r="C528" s="5" t="s">
        <v>13</v>
      </c>
      <c r="D528" s="5" t="s">
        <v>1735</v>
      </c>
      <c r="E528" s="5">
        <v>1</v>
      </c>
      <c r="F528" s="5" t="s">
        <v>1768</v>
      </c>
    </row>
    <row r="529" spans="1:6">
      <c r="A529" s="5" t="s">
        <v>1016</v>
      </c>
      <c r="B529" s="5" t="s">
        <v>1017</v>
      </c>
      <c r="C529" s="5" t="s">
        <v>13</v>
      </c>
      <c r="D529" s="5" t="s">
        <v>1735</v>
      </c>
      <c r="E529" s="5">
        <v>2</v>
      </c>
      <c r="F529" s="5" t="s">
        <v>2175</v>
      </c>
    </row>
    <row r="530" spans="1:6">
      <c r="A530" s="5" t="s">
        <v>1016</v>
      </c>
      <c r="B530" s="5" t="s">
        <v>1017</v>
      </c>
      <c r="C530" s="5" t="s">
        <v>13</v>
      </c>
      <c r="D530" s="5" t="s">
        <v>1735</v>
      </c>
      <c r="E530" s="5">
        <v>3</v>
      </c>
      <c r="F530" s="5" t="s">
        <v>1784</v>
      </c>
    </row>
    <row r="531" spans="1:6">
      <c r="A531" s="5" t="s">
        <v>1016</v>
      </c>
      <c r="B531" s="5" t="s">
        <v>1017</v>
      </c>
      <c r="C531" s="5" t="s">
        <v>13</v>
      </c>
      <c r="D531" s="5" t="s">
        <v>1739</v>
      </c>
      <c r="E531" s="5">
        <v>1</v>
      </c>
      <c r="F531" s="5" t="s">
        <v>1947</v>
      </c>
    </row>
    <row r="532" spans="1:6">
      <c r="A532" s="5" t="s">
        <v>1016</v>
      </c>
      <c r="B532" s="5" t="s">
        <v>1017</v>
      </c>
      <c r="C532" s="5" t="s">
        <v>13</v>
      </c>
      <c r="D532" s="5" t="s">
        <v>1739</v>
      </c>
      <c r="E532" s="5">
        <v>2</v>
      </c>
      <c r="F532" s="5" t="s">
        <v>1643</v>
      </c>
    </row>
    <row r="533" spans="1:6">
      <c r="A533" s="5" t="s">
        <v>1016</v>
      </c>
      <c r="B533" s="5" t="s">
        <v>1017</v>
      </c>
      <c r="C533" s="5" t="s">
        <v>13</v>
      </c>
      <c r="D533" s="5" t="s">
        <v>1739</v>
      </c>
      <c r="E533" s="5">
        <v>3</v>
      </c>
      <c r="F533" s="5" t="s">
        <v>2176</v>
      </c>
    </row>
    <row r="534" spans="1:6">
      <c r="A534" s="5" t="s">
        <v>1016</v>
      </c>
      <c r="B534" s="5" t="s">
        <v>1017</v>
      </c>
      <c r="C534" s="5" t="s">
        <v>13</v>
      </c>
      <c r="D534" s="5" t="s">
        <v>1739</v>
      </c>
      <c r="E534" s="5">
        <v>4</v>
      </c>
      <c r="F534" s="5" t="s">
        <v>2177</v>
      </c>
    </row>
    <row r="535" spans="1:6">
      <c r="A535" s="5" t="s">
        <v>1016</v>
      </c>
      <c r="B535" s="5" t="s">
        <v>1017</v>
      </c>
      <c r="C535" s="5" t="s">
        <v>13</v>
      </c>
      <c r="D535" s="5" t="s">
        <v>1743</v>
      </c>
      <c r="E535" s="5">
        <v>1</v>
      </c>
      <c r="F535" s="5" t="s">
        <v>2178</v>
      </c>
    </row>
    <row r="536" spans="1:6">
      <c r="A536" s="5" t="s">
        <v>1016</v>
      </c>
      <c r="B536" s="5" t="s">
        <v>1017</v>
      </c>
      <c r="C536" s="5" t="s">
        <v>13</v>
      </c>
      <c r="D536" s="5" t="s">
        <v>1748</v>
      </c>
      <c r="E536" s="5">
        <v>1</v>
      </c>
      <c r="F536" s="5" t="s">
        <v>2179</v>
      </c>
    </row>
    <row r="537" spans="1:6">
      <c r="A537" s="5" t="s">
        <v>1029</v>
      </c>
      <c r="B537" s="5" t="s">
        <v>1030</v>
      </c>
      <c r="C537" s="5" t="s">
        <v>23</v>
      </c>
      <c r="D537" s="5" t="s">
        <v>1735</v>
      </c>
      <c r="E537" s="5">
        <v>1</v>
      </c>
      <c r="F537" s="5" t="s">
        <v>1829</v>
      </c>
    </row>
    <row r="538" spans="1:6">
      <c r="A538" s="5" t="s">
        <v>1029</v>
      </c>
      <c r="B538" s="5" t="s">
        <v>1030</v>
      </c>
      <c r="C538" s="5" t="s">
        <v>23</v>
      </c>
      <c r="D538" s="5" t="s">
        <v>1735</v>
      </c>
      <c r="E538" s="5">
        <v>2</v>
      </c>
      <c r="F538" s="5" t="s">
        <v>2180</v>
      </c>
    </row>
    <row r="539" spans="1:6">
      <c r="A539" s="5" t="s">
        <v>1029</v>
      </c>
      <c r="B539" s="5" t="s">
        <v>1030</v>
      </c>
      <c r="C539" s="5" t="s">
        <v>23</v>
      </c>
      <c r="D539" s="5" t="s">
        <v>1735</v>
      </c>
      <c r="E539" s="5">
        <v>3</v>
      </c>
      <c r="F539" s="5" t="s">
        <v>2181</v>
      </c>
    </row>
    <row r="540" spans="1:6">
      <c r="A540" s="5" t="s">
        <v>1029</v>
      </c>
      <c r="B540" s="5" t="s">
        <v>1030</v>
      </c>
      <c r="C540" s="5" t="s">
        <v>23</v>
      </c>
      <c r="D540" s="5" t="s">
        <v>1735</v>
      </c>
      <c r="E540" s="5">
        <v>4</v>
      </c>
      <c r="F540" s="5" t="s">
        <v>2040</v>
      </c>
    </row>
    <row r="541" spans="1:6">
      <c r="A541" s="5" t="s">
        <v>1029</v>
      </c>
      <c r="B541" s="5" t="s">
        <v>1030</v>
      </c>
      <c r="C541" s="5" t="s">
        <v>23</v>
      </c>
      <c r="D541" s="5" t="s">
        <v>1739</v>
      </c>
      <c r="E541" s="5">
        <v>1</v>
      </c>
      <c r="F541" s="5" t="s">
        <v>2182</v>
      </c>
    </row>
    <row r="542" spans="1:6">
      <c r="A542" s="5" t="s">
        <v>1029</v>
      </c>
      <c r="B542" s="5" t="s">
        <v>1030</v>
      </c>
      <c r="C542" s="5" t="s">
        <v>23</v>
      </c>
      <c r="D542" s="5" t="s">
        <v>1743</v>
      </c>
      <c r="E542" s="5">
        <v>1</v>
      </c>
      <c r="F542" s="5" t="s">
        <v>2183</v>
      </c>
    </row>
    <row r="543" spans="1:6">
      <c r="A543" s="5" t="s">
        <v>1029</v>
      </c>
      <c r="B543" s="5" t="s">
        <v>1030</v>
      </c>
      <c r="C543" s="5" t="s">
        <v>23</v>
      </c>
      <c r="D543" s="5" t="s">
        <v>1748</v>
      </c>
      <c r="E543" s="5">
        <v>1</v>
      </c>
      <c r="F543" s="5" t="s">
        <v>2184</v>
      </c>
    </row>
    <row r="544" spans="1:6">
      <c r="A544" s="5" t="s">
        <v>1044</v>
      </c>
      <c r="B544" s="5" t="s">
        <v>1045</v>
      </c>
      <c r="C544" s="5" t="s">
        <v>23</v>
      </c>
      <c r="D544" s="5" t="s">
        <v>1735</v>
      </c>
      <c r="E544" s="5">
        <v>1</v>
      </c>
      <c r="F544" s="5" t="s">
        <v>1781</v>
      </c>
    </row>
    <row r="545" spans="1:6">
      <c r="A545" s="5" t="s">
        <v>1044</v>
      </c>
      <c r="B545" s="5" t="s">
        <v>1045</v>
      </c>
      <c r="C545" s="5" t="s">
        <v>23</v>
      </c>
      <c r="D545" s="5" t="s">
        <v>1735</v>
      </c>
      <c r="E545" s="5">
        <v>2</v>
      </c>
      <c r="F545" s="5" t="s">
        <v>2185</v>
      </c>
    </row>
    <row r="546" spans="1:6">
      <c r="A546" s="5" t="s">
        <v>1044</v>
      </c>
      <c r="B546" s="5" t="s">
        <v>1045</v>
      </c>
      <c r="C546" s="5" t="s">
        <v>23</v>
      </c>
      <c r="D546" s="5" t="s">
        <v>1735</v>
      </c>
      <c r="E546" s="5">
        <v>3</v>
      </c>
      <c r="F546" s="5" t="s">
        <v>2186</v>
      </c>
    </row>
    <row r="547" spans="1:6">
      <c r="A547" s="5" t="s">
        <v>1044</v>
      </c>
      <c r="B547" s="5" t="s">
        <v>1045</v>
      </c>
      <c r="C547" s="5" t="s">
        <v>23</v>
      </c>
      <c r="D547" s="5" t="s">
        <v>1735</v>
      </c>
      <c r="E547" s="5">
        <v>4</v>
      </c>
      <c r="F547" s="5" t="s">
        <v>2187</v>
      </c>
    </row>
    <row r="548" spans="1:6">
      <c r="A548" s="5" t="s">
        <v>1044</v>
      </c>
      <c r="B548" s="5" t="s">
        <v>1045</v>
      </c>
      <c r="C548" s="5" t="s">
        <v>23</v>
      </c>
      <c r="D548" s="5" t="s">
        <v>1735</v>
      </c>
      <c r="E548" s="5">
        <v>5</v>
      </c>
      <c r="F548" s="5" t="s">
        <v>2188</v>
      </c>
    </row>
    <row r="549" spans="1:6">
      <c r="A549" s="5" t="s">
        <v>1044</v>
      </c>
      <c r="B549" s="5" t="s">
        <v>1045</v>
      </c>
      <c r="C549" s="5" t="s">
        <v>23</v>
      </c>
      <c r="D549" s="5" t="s">
        <v>1739</v>
      </c>
      <c r="E549" s="5">
        <v>1</v>
      </c>
      <c r="F549" s="5" t="s">
        <v>2189</v>
      </c>
    </row>
    <row r="550" spans="1:6">
      <c r="A550" s="5" t="s">
        <v>1044</v>
      </c>
      <c r="B550" s="5" t="s">
        <v>1045</v>
      </c>
      <c r="C550" s="5" t="s">
        <v>23</v>
      </c>
      <c r="D550" s="5" t="s">
        <v>1739</v>
      </c>
      <c r="E550" s="5">
        <v>2</v>
      </c>
      <c r="F550" s="5" t="s">
        <v>2049</v>
      </c>
    </row>
    <row r="551" spans="1:6">
      <c r="A551" s="5" t="s">
        <v>1044</v>
      </c>
      <c r="B551" s="5" t="s">
        <v>1045</v>
      </c>
      <c r="C551" s="5" t="s">
        <v>23</v>
      </c>
      <c r="D551" s="5" t="s">
        <v>1739</v>
      </c>
      <c r="E551" s="5">
        <v>3</v>
      </c>
      <c r="F551" s="5" t="s">
        <v>2190</v>
      </c>
    </row>
    <row r="552" spans="1:6">
      <c r="A552" s="5" t="s">
        <v>1044</v>
      </c>
      <c r="B552" s="5" t="s">
        <v>1045</v>
      </c>
      <c r="C552" s="5" t="s">
        <v>23</v>
      </c>
      <c r="D552" s="5" t="s">
        <v>1739</v>
      </c>
      <c r="E552" s="5">
        <v>4</v>
      </c>
      <c r="F552" s="5" t="s">
        <v>2071</v>
      </c>
    </row>
    <row r="553" spans="1:6">
      <c r="A553" s="5" t="s">
        <v>1044</v>
      </c>
      <c r="B553" s="5" t="s">
        <v>1045</v>
      </c>
      <c r="C553" s="5" t="s">
        <v>23</v>
      </c>
      <c r="D553" s="5" t="s">
        <v>1739</v>
      </c>
      <c r="E553" s="5">
        <v>5</v>
      </c>
      <c r="F553" s="5" t="s">
        <v>1600</v>
      </c>
    </row>
    <row r="554" spans="1:6">
      <c r="A554" s="5" t="s">
        <v>1044</v>
      </c>
      <c r="B554" s="5" t="s">
        <v>1045</v>
      </c>
      <c r="C554" s="5" t="s">
        <v>23</v>
      </c>
      <c r="D554" s="5" t="s">
        <v>1739</v>
      </c>
      <c r="E554" s="5">
        <v>6</v>
      </c>
      <c r="F554" s="5" t="s">
        <v>1656</v>
      </c>
    </row>
    <row r="555" spans="1:6">
      <c r="A555" s="5" t="s">
        <v>1044</v>
      </c>
      <c r="B555" s="5" t="s">
        <v>1045</v>
      </c>
      <c r="C555" s="5" t="s">
        <v>23</v>
      </c>
      <c r="D555" s="5" t="s">
        <v>1739</v>
      </c>
      <c r="E555" s="5">
        <v>7</v>
      </c>
      <c r="F555" s="5" t="s">
        <v>2191</v>
      </c>
    </row>
    <row r="556" spans="1:6">
      <c r="A556" s="5" t="s">
        <v>1044</v>
      </c>
      <c r="B556" s="5" t="s">
        <v>1045</v>
      </c>
      <c r="C556" s="5" t="s">
        <v>23</v>
      </c>
      <c r="D556" s="5" t="s">
        <v>1739</v>
      </c>
      <c r="E556" s="5">
        <v>8</v>
      </c>
      <c r="F556" s="5" t="s">
        <v>1777</v>
      </c>
    </row>
    <row r="557" spans="1:6">
      <c r="A557" s="5" t="s">
        <v>1044</v>
      </c>
      <c r="B557" s="5" t="s">
        <v>1045</v>
      </c>
      <c r="C557" s="5" t="s">
        <v>23</v>
      </c>
      <c r="D557" s="5" t="s">
        <v>1739</v>
      </c>
      <c r="E557" s="5">
        <v>9</v>
      </c>
      <c r="F557" s="5" t="s">
        <v>1595</v>
      </c>
    </row>
    <row r="558" spans="1:6">
      <c r="A558" s="5" t="s">
        <v>1044</v>
      </c>
      <c r="B558" s="5" t="s">
        <v>1045</v>
      </c>
      <c r="C558" s="5" t="s">
        <v>23</v>
      </c>
      <c r="D558" s="5" t="s">
        <v>1743</v>
      </c>
      <c r="E558" s="5">
        <v>1</v>
      </c>
      <c r="F558" s="5" t="s">
        <v>2192</v>
      </c>
    </row>
    <row r="559" spans="1:6">
      <c r="A559" s="5" t="s">
        <v>1044</v>
      </c>
      <c r="B559" s="5" t="s">
        <v>1045</v>
      </c>
      <c r="C559" s="5" t="s">
        <v>23</v>
      </c>
      <c r="D559" s="5" t="s">
        <v>1748</v>
      </c>
      <c r="E559" s="5">
        <v>1</v>
      </c>
      <c r="F559" s="5" t="s">
        <v>2193</v>
      </c>
    </row>
    <row r="560" spans="1:6">
      <c r="A560" s="5" t="s">
        <v>1044</v>
      </c>
      <c r="B560" s="5" t="s">
        <v>1045</v>
      </c>
      <c r="C560" s="5" t="s">
        <v>23</v>
      </c>
      <c r="D560" s="5" t="s">
        <v>1748</v>
      </c>
      <c r="E560" s="5">
        <v>2</v>
      </c>
      <c r="F560" s="5" t="s">
        <v>2194</v>
      </c>
    </row>
    <row r="561" spans="1:6">
      <c r="A561" s="5" t="s">
        <v>1044</v>
      </c>
      <c r="B561" s="5" t="s">
        <v>1045</v>
      </c>
      <c r="C561" s="5" t="s">
        <v>23</v>
      </c>
      <c r="D561" s="5" t="s">
        <v>1748</v>
      </c>
      <c r="E561" s="5">
        <v>3</v>
      </c>
      <c r="F561" s="5" t="s">
        <v>1777</v>
      </c>
    </row>
    <row r="562" spans="1:6">
      <c r="A562" s="5" t="s">
        <v>1058</v>
      </c>
      <c r="B562" s="5" t="s">
        <v>1059</v>
      </c>
      <c r="C562" s="5" t="s">
        <v>23</v>
      </c>
      <c r="D562" s="5" t="s">
        <v>1735</v>
      </c>
      <c r="E562" s="5">
        <v>1</v>
      </c>
      <c r="F562" s="5" t="s">
        <v>2045</v>
      </c>
    </row>
    <row r="563" spans="1:6">
      <c r="A563" s="5" t="s">
        <v>1058</v>
      </c>
      <c r="B563" s="5" t="s">
        <v>1059</v>
      </c>
      <c r="C563" s="5" t="s">
        <v>23</v>
      </c>
      <c r="D563" s="5" t="s">
        <v>1735</v>
      </c>
      <c r="E563" s="5">
        <v>2</v>
      </c>
      <c r="F563" s="5" t="s">
        <v>1771</v>
      </c>
    </row>
    <row r="564" spans="1:6">
      <c r="A564" s="5" t="s">
        <v>1058</v>
      </c>
      <c r="B564" s="5" t="s">
        <v>1059</v>
      </c>
      <c r="C564" s="5" t="s">
        <v>23</v>
      </c>
      <c r="D564" s="5" t="s">
        <v>1735</v>
      </c>
      <c r="E564" s="5">
        <v>3</v>
      </c>
      <c r="F564" s="5" t="s">
        <v>2195</v>
      </c>
    </row>
    <row r="565" spans="1:6">
      <c r="A565" s="5" t="s">
        <v>1058</v>
      </c>
      <c r="B565" s="5" t="s">
        <v>1059</v>
      </c>
      <c r="C565" s="5" t="s">
        <v>23</v>
      </c>
      <c r="D565" s="5" t="s">
        <v>1739</v>
      </c>
      <c r="E565" s="5">
        <v>1</v>
      </c>
      <c r="F565" s="5" t="s">
        <v>2196</v>
      </c>
    </row>
    <row r="566" spans="1:6">
      <c r="A566" s="5" t="s">
        <v>1058</v>
      </c>
      <c r="B566" s="5" t="s">
        <v>1059</v>
      </c>
      <c r="C566" s="5" t="s">
        <v>23</v>
      </c>
      <c r="D566" s="5" t="s">
        <v>1743</v>
      </c>
      <c r="E566" s="5">
        <v>1</v>
      </c>
      <c r="F566" s="5" t="s">
        <v>2197</v>
      </c>
    </row>
    <row r="567" spans="1:6">
      <c r="A567" s="5" t="s">
        <v>1058</v>
      </c>
      <c r="B567" s="5" t="s">
        <v>1059</v>
      </c>
      <c r="C567" s="5" t="s">
        <v>23</v>
      </c>
      <c r="D567" s="5" t="s">
        <v>1748</v>
      </c>
      <c r="E567" s="5">
        <v>1</v>
      </c>
      <c r="F567" s="5" t="s">
        <v>2198</v>
      </c>
    </row>
    <row r="568" spans="1:6">
      <c r="A568" s="5" t="s">
        <v>1072</v>
      </c>
      <c r="B568" s="5" t="s">
        <v>1073</v>
      </c>
      <c r="C568" s="5" t="s">
        <v>23</v>
      </c>
      <c r="D568" s="5" t="s">
        <v>1735</v>
      </c>
      <c r="E568" s="5">
        <v>1</v>
      </c>
      <c r="F568" s="5" t="s">
        <v>2005</v>
      </c>
    </row>
    <row r="569" spans="1:6">
      <c r="A569" s="5" t="s">
        <v>1072</v>
      </c>
      <c r="B569" s="5" t="s">
        <v>1073</v>
      </c>
      <c r="C569" s="5" t="s">
        <v>23</v>
      </c>
      <c r="D569" s="5" t="s">
        <v>1735</v>
      </c>
      <c r="E569" s="5">
        <v>2</v>
      </c>
      <c r="F569" s="5" t="s">
        <v>2141</v>
      </c>
    </row>
    <row r="570" spans="1:6">
      <c r="A570" s="5" t="s">
        <v>1072</v>
      </c>
      <c r="B570" s="5" t="s">
        <v>1073</v>
      </c>
      <c r="C570" s="5" t="s">
        <v>23</v>
      </c>
      <c r="D570" s="5" t="s">
        <v>1735</v>
      </c>
      <c r="E570" s="5">
        <v>3</v>
      </c>
      <c r="F570" s="5" t="s">
        <v>2199</v>
      </c>
    </row>
    <row r="571" spans="1:6">
      <c r="A571" s="5" t="s">
        <v>1072</v>
      </c>
      <c r="B571" s="5" t="s">
        <v>1073</v>
      </c>
      <c r="C571" s="5" t="s">
        <v>23</v>
      </c>
      <c r="D571" s="5" t="s">
        <v>1735</v>
      </c>
      <c r="E571" s="5">
        <v>4</v>
      </c>
      <c r="F571" s="5" t="s">
        <v>1872</v>
      </c>
    </row>
    <row r="572" spans="1:6">
      <c r="A572" s="5" t="s">
        <v>1072</v>
      </c>
      <c r="B572" s="5" t="s">
        <v>1073</v>
      </c>
      <c r="C572" s="5" t="s">
        <v>23</v>
      </c>
      <c r="D572" s="5" t="s">
        <v>1739</v>
      </c>
      <c r="E572" s="5">
        <v>1</v>
      </c>
      <c r="F572" s="5" t="s">
        <v>2200</v>
      </c>
    </row>
    <row r="573" spans="1:6">
      <c r="A573" s="5" t="s">
        <v>1072</v>
      </c>
      <c r="B573" s="5" t="s">
        <v>1073</v>
      </c>
      <c r="C573" s="5" t="s">
        <v>23</v>
      </c>
      <c r="D573" s="5" t="s">
        <v>1739</v>
      </c>
      <c r="E573" s="5">
        <v>2</v>
      </c>
      <c r="F573" s="5" t="s">
        <v>2201</v>
      </c>
    </row>
    <row r="574" spans="1:6">
      <c r="A574" s="5" t="s">
        <v>1072</v>
      </c>
      <c r="B574" s="5" t="s">
        <v>1073</v>
      </c>
      <c r="C574" s="5" t="s">
        <v>23</v>
      </c>
      <c r="D574" s="5" t="s">
        <v>1739</v>
      </c>
      <c r="E574" s="5">
        <v>3</v>
      </c>
      <c r="F574" s="5" t="s">
        <v>2202</v>
      </c>
    </row>
    <row r="575" spans="1:6">
      <c r="A575" s="5" t="s">
        <v>1072</v>
      </c>
      <c r="B575" s="5" t="s">
        <v>1073</v>
      </c>
      <c r="C575" s="5" t="s">
        <v>23</v>
      </c>
      <c r="D575" s="5" t="s">
        <v>1739</v>
      </c>
      <c r="E575" s="5">
        <v>4</v>
      </c>
      <c r="F575" s="5" t="s">
        <v>2203</v>
      </c>
    </row>
    <row r="576" spans="1:6">
      <c r="A576" s="5" t="s">
        <v>1072</v>
      </c>
      <c r="B576" s="5" t="s">
        <v>1073</v>
      </c>
      <c r="C576" s="5" t="s">
        <v>23</v>
      </c>
      <c r="D576" s="5" t="s">
        <v>1743</v>
      </c>
      <c r="E576" s="5">
        <v>1</v>
      </c>
      <c r="F576" s="5" t="s">
        <v>2204</v>
      </c>
    </row>
    <row r="577" spans="1:6">
      <c r="A577" s="5" t="s">
        <v>1072</v>
      </c>
      <c r="B577" s="5" t="s">
        <v>1073</v>
      </c>
      <c r="C577" s="5" t="s">
        <v>23</v>
      </c>
      <c r="D577" s="5" t="s">
        <v>1743</v>
      </c>
      <c r="E577" s="5">
        <v>2</v>
      </c>
      <c r="F577" s="5" t="s">
        <v>1799</v>
      </c>
    </row>
    <row r="578" spans="1:6">
      <c r="A578" s="5" t="s">
        <v>1072</v>
      </c>
      <c r="B578" s="5" t="s">
        <v>1073</v>
      </c>
      <c r="C578" s="5" t="s">
        <v>23</v>
      </c>
      <c r="D578" s="5" t="s">
        <v>1748</v>
      </c>
      <c r="E578" s="5">
        <v>1</v>
      </c>
      <c r="F578" s="5" t="s">
        <v>2205</v>
      </c>
    </row>
    <row r="579" spans="1:6">
      <c r="A579" s="5" t="s">
        <v>1072</v>
      </c>
      <c r="B579" s="5" t="s">
        <v>1073</v>
      </c>
      <c r="C579" s="5" t="s">
        <v>23</v>
      </c>
      <c r="D579" s="5" t="s">
        <v>1748</v>
      </c>
      <c r="E579" s="5">
        <v>2</v>
      </c>
      <c r="F579" s="5" t="s">
        <v>2206</v>
      </c>
    </row>
    <row r="580" spans="1:6">
      <c r="A580" s="5" t="s">
        <v>1086</v>
      </c>
      <c r="B580" s="5" t="s">
        <v>1087</v>
      </c>
      <c r="C580" s="5" t="s">
        <v>23</v>
      </c>
      <c r="D580" s="5" t="s">
        <v>1735</v>
      </c>
      <c r="E580" s="5">
        <v>1</v>
      </c>
      <c r="F580" s="5" t="s">
        <v>2207</v>
      </c>
    </row>
    <row r="581" spans="1:6">
      <c r="A581" s="5" t="s">
        <v>1086</v>
      </c>
      <c r="B581" s="5" t="s">
        <v>1087</v>
      </c>
      <c r="C581" s="5" t="s">
        <v>23</v>
      </c>
      <c r="D581" s="5" t="s">
        <v>1735</v>
      </c>
      <c r="E581" s="5">
        <v>2</v>
      </c>
      <c r="F581" s="5" t="s">
        <v>1781</v>
      </c>
    </row>
    <row r="582" spans="1:6">
      <c r="A582" s="5" t="s">
        <v>1086</v>
      </c>
      <c r="B582" s="5" t="s">
        <v>1087</v>
      </c>
      <c r="C582" s="5" t="s">
        <v>23</v>
      </c>
      <c r="D582" s="5" t="s">
        <v>1735</v>
      </c>
      <c r="E582" s="5">
        <v>3</v>
      </c>
      <c r="F582" s="5" t="s">
        <v>2045</v>
      </c>
    </row>
    <row r="583" spans="1:6">
      <c r="A583" s="5" t="s">
        <v>1086</v>
      </c>
      <c r="B583" s="5" t="s">
        <v>1087</v>
      </c>
      <c r="C583" s="5" t="s">
        <v>23</v>
      </c>
      <c r="D583" s="5" t="s">
        <v>1735</v>
      </c>
      <c r="E583" s="5">
        <v>4</v>
      </c>
      <c r="F583" s="5" t="s">
        <v>2208</v>
      </c>
    </row>
    <row r="584" spans="1:6">
      <c r="A584" s="5" t="s">
        <v>1086</v>
      </c>
      <c r="B584" s="5" t="s">
        <v>1087</v>
      </c>
      <c r="C584" s="5" t="s">
        <v>23</v>
      </c>
      <c r="D584" s="5" t="s">
        <v>1739</v>
      </c>
      <c r="E584" s="5">
        <v>1</v>
      </c>
      <c r="F584" s="5" t="s">
        <v>2209</v>
      </c>
    </row>
    <row r="585" spans="1:6">
      <c r="A585" s="5" t="s">
        <v>1086</v>
      </c>
      <c r="B585" s="5" t="s">
        <v>1087</v>
      </c>
      <c r="C585" s="5" t="s">
        <v>23</v>
      </c>
      <c r="D585" s="5" t="s">
        <v>1739</v>
      </c>
      <c r="E585" s="5">
        <v>2</v>
      </c>
      <c r="F585" s="5" t="s">
        <v>2210</v>
      </c>
    </row>
    <row r="586" spans="1:6">
      <c r="A586" s="5" t="s">
        <v>1086</v>
      </c>
      <c r="B586" s="5" t="s">
        <v>1087</v>
      </c>
      <c r="C586" s="5" t="s">
        <v>23</v>
      </c>
      <c r="D586" s="5" t="s">
        <v>1739</v>
      </c>
      <c r="E586" s="5">
        <v>3</v>
      </c>
      <c r="F586" s="5" t="s">
        <v>2211</v>
      </c>
    </row>
    <row r="587" spans="1:6">
      <c r="A587" s="5" t="s">
        <v>1086</v>
      </c>
      <c r="B587" s="5" t="s">
        <v>1087</v>
      </c>
      <c r="C587" s="5" t="s">
        <v>23</v>
      </c>
      <c r="D587" s="5" t="s">
        <v>1739</v>
      </c>
      <c r="E587" s="5">
        <v>4</v>
      </c>
      <c r="F587" s="5" t="s">
        <v>1777</v>
      </c>
    </row>
    <row r="588" spans="1:6">
      <c r="A588" s="5" t="s">
        <v>1086</v>
      </c>
      <c r="B588" s="5" t="s">
        <v>1087</v>
      </c>
      <c r="C588" s="5" t="s">
        <v>23</v>
      </c>
      <c r="D588" s="5" t="s">
        <v>1743</v>
      </c>
      <c r="E588" s="5">
        <v>1</v>
      </c>
      <c r="F588" s="5" t="s">
        <v>2212</v>
      </c>
    </row>
    <row r="589" spans="1:6">
      <c r="A589" s="5" t="s">
        <v>1086</v>
      </c>
      <c r="B589" s="5" t="s">
        <v>1087</v>
      </c>
      <c r="C589" s="5" t="s">
        <v>23</v>
      </c>
      <c r="D589" s="5" t="s">
        <v>1743</v>
      </c>
      <c r="E589" s="5">
        <v>2</v>
      </c>
      <c r="F589" s="5" t="s">
        <v>2213</v>
      </c>
    </row>
    <row r="590" spans="1:6">
      <c r="A590" s="5" t="s">
        <v>1086</v>
      </c>
      <c r="B590" s="5" t="s">
        <v>1087</v>
      </c>
      <c r="C590" s="5" t="s">
        <v>23</v>
      </c>
      <c r="D590" s="5" t="s">
        <v>1748</v>
      </c>
      <c r="E590" s="5">
        <v>1</v>
      </c>
      <c r="F590" s="5" t="s">
        <v>2214</v>
      </c>
    </row>
    <row r="591" spans="1:6">
      <c r="A591" s="5" t="s">
        <v>1086</v>
      </c>
      <c r="B591" s="5" t="s">
        <v>1087</v>
      </c>
      <c r="C591" s="5" t="s">
        <v>23</v>
      </c>
      <c r="D591" s="5" t="s">
        <v>1748</v>
      </c>
      <c r="E591" s="5">
        <v>2</v>
      </c>
      <c r="F591" s="5" t="s">
        <v>2206</v>
      </c>
    </row>
    <row r="592" spans="1:6">
      <c r="A592" s="5" t="s">
        <v>1099</v>
      </c>
      <c r="B592" s="5" t="s">
        <v>1100</v>
      </c>
      <c r="C592" s="5" t="s">
        <v>23</v>
      </c>
      <c r="D592" s="5" t="s">
        <v>1735</v>
      </c>
      <c r="E592" s="5">
        <v>1</v>
      </c>
      <c r="F592" s="5" t="s">
        <v>2215</v>
      </c>
    </row>
    <row r="593" spans="1:6">
      <c r="A593" s="5" t="s">
        <v>1099</v>
      </c>
      <c r="B593" s="5" t="s">
        <v>1100</v>
      </c>
      <c r="C593" s="5" t="s">
        <v>23</v>
      </c>
      <c r="D593" s="5" t="s">
        <v>1735</v>
      </c>
      <c r="E593" s="5">
        <v>2</v>
      </c>
      <c r="F593" s="5" t="s">
        <v>2216</v>
      </c>
    </row>
    <row r="594" spans="1:6">
      <c r="A594" s="5" t="s">
        <v>1099</v>
      </c>
      <c r="B594" s="5" t="s">
        <v>1100</v>
      </c>
      <c r="C594" s="5" t="s">
        <v>23</v>
      </c>
      <c r="D594" s="5" t="s">
        <v>1735</v>
      </c>
      <c r="E594" s="5">
        <v>3</v>
      </c>
      <c r="F594" s="5" t="s">
        <v>2059</v>
      </c>
    </row>
    <row r="595" spans="1:6">
      <c r="A595" s="5" t="s">
        <v>1099</v>
      </c>
      <c r="B595" s="5" t="s">
        <v>1100</v>
      </c>
      <c r="C595" s="5" t="s">
        <v>23</v>
      </c>
      <c r="D595" s="5" t="s">
        <v>1735</v>
      </c>
      <c r="E595" s="5">
        <v>4</v>
      </c>
      <c r="F595" s="5" t="s">
        <v>1784</v>
      </c>
    </row>
    <row r="596" spans="1:6">
      <c r="A596" s="5" t="s">
        <v>1099</v>
      </c>
      <c r="B596" s="5" t="s">
        <v>1100</v>
      </c>
      <c r="C596" s="5" t="s">
        <v>23</v>
      </c>
      <c r="D596" s="5" t="s">
        <v>1739</v>
      </c>
      <c r="E596" s="5">
        <v>1</v>
      </c>
      <c r="F596" s="5" t="s">
        <v>2062</v>
      </c>
    </row>
    <row r="597" spans="1:6">
      <c r="A597" s="5" t="s">
        <v>1099</v>
      </c>
      <c r="B597" s="5" t="s">
        <v>1100</v>
      </c>
      <c r="C597" s="5" t="s">
        <v>23</v>
      </c>
      <c r="D597" s="5" t="s">
        <v>1739</v>
      </c>
      <c r="E597" s="5">
        <v>2</v>
      </c>
      <c r="F597" s="5" t="s">
        <v>1947</v>
      </c>
    </row>
    <row r="598" spans="1:6">
      <c r="A598" s="5" t="s">
        <v>1099</v>
      </c>
      <c r="B598" s="5" t="s">
        <v>1100</v>
      </c>
      <c r="C598" s="5" t="s">
        <v>23</v>
      </c>
      <c r="D598" s="5" t="s">
        <v>1739</v>
      </c>
      <c r="E598" s="5">
        <v>3</v>
      </c>
      <c r="F598" s="5" t="s">
        <v>2217</v>
      </c>
    </row>
    <row r="599" spans="1:6">
      <c r="A599" s="5" t="s">
        <v>1099</v>
      </c>
      <c r="B599" s="5" t="s">
        <v>1100</v>
      </c>
      <c r="C599" s="5" t="s">
        <v>23</v>
      </c>
      <c r="D599" s="5" t="s">
        <v>1739</v>
      </c>
      <c r="E599" s="5">
        <v>4</v>
      </c>
      <c r="F599" s="5" t="s">
        <v>2063</v>
      </c>
    </row>
    <row r="600" spans="1:6">
      <c r="A600" s="5" t="s">
        <v>1099</v>
      </c>
      <c r="B600" s="5" t="s">
        <v>1100</v>
      </c>
      <c r="C600" s="5" t="s">
        <v>23</v>
      </c>
      <c r="D600" s="5" t="s">
        <v>1739</v>
      </c>
      <c r="E600" s="5">
        <v>5</v>
      </c>
      <c r="F600" s="5" t="s">
        <v>2218</v>
      </c>
    </row>
    <row r="601" spans="1:6">
      <c r="A601" s="5" t="s">
        <v>1099</v>
      </c>
      <c r="B601" s="5" t="s">
        <v>1100</v>
      </c>
      <c r="C601" s="5" t="s">
        <v>23</v>
      </c>
      <c r="D601" s="5" t="s">
        <v>1743</v>
      </c>
      <c r="E601" s="5">
        <v>1</v>
      </c>
      <c r="F601" s="5" t="s">
        <v>2219</v>
      </c>
    </row>
    <row r="602" spans="1:6">
      <c r="A602" s="5" t="s">
        <v>1099</v>
      </c>
      <c r="B602" s="5" t="s">
        <v>1100</v>
      </c>
      <c r="C602" s="5" t="s">
        <v>23</v>
      </c>
      <c r="D602" s="5" t="s">
        <v>1748</v>
      </c>
      <c r="E602" s="5">
        <v>1</v>
      </c>
      <c r="F602" s="5" t="s">
        <v>2220</v>
      </c>
    </row>
    <row r="603" spans="1:6">
      <c r="A603" s="5" t="s">
        <v>1112</v>
      </c>
      <c r="B603" s="5" t="s">
        <v>1113</v>
      </c>
      <c r="C603" s="5" t="s">
        <v>15</v>
      </c>
      <c r="D603" s="5" t="s">
        <v>1735</v>
      </c>
      <c r="E603" s="5">
        <v>1</v>
      </c>
      <c r="F603" s="5" t="s">
        <v>2221</v>
      </c>
    </row>
    <row r="604" spans="1:6">
      <c r="A604" s="5" t="s">
        <v>1112</v>
      </c>
      <c r="B604" s="5" t="s">
        <v>1113</v>
      </c>
      <c r="C604" s="5" t="s">
        <v>15</v>
      </c>
      <c r="D604" s="5" t="s">
        <v>1735</v>
      </c>
      <c r="E604" s="5">
        <v>2</v>
      </c>
      <c r="F604" s="5" t="s">
        <v>2222</v>
      </c>
    </row>
    <row r="605" spans="1:6">
      <c r="A605" s="5" t="s">
        <v>1112</v>
      </c>
      <c r="B605" s="5" t="s">
        <v>1113</v>
      </c>
      <c r="C605" s="5" t="s">
        <v>15</v>
      </c>
      <c r="D605" s="5" t="s">
        <v>1735</v>
      </c>
      <c r="E605" s="5">
        <v>3</v>
      </c>
      <c r="F605" s="5" t="s">
        <v>2223</v>
      </c>
    </row>
    <row r="606" spans="1:6">
      <c r="A606" s="5" t="s">
        <v>1112</v>
      </c>
      <c r="B606" s="5" t="s">
        <v>1113</v>
      </c>
      <c r="C606" s="5" t="s">
        <v>15</v>
      </c>
      <c r="D606" s="5" t="s">
        <v>1739</v>
      </c>
      <c r="E606" s="5">
        <v>1</v>
      </c>
      <c r="F606" s="5" t="s">
        <v>2224</v>
      </c>
    </row>
    <row r="607" spans="1:6">
      <c r="A607" s="5" t="s">
        <v>1112</v>
      </c>
      <c r="B607" s="5" t="s">
        <v>1113</v>
      </c>
      <c r="C607" s="5" t="s">
        <v>15</v>
      </c>
      <c r="D607" s="5" t="s">
        <v>1743</v>
      </c>
      <c r="E607" s="5">
        <v>1</v>
      </c>
      <c r="F607" s="5" t="s">
        <v>2225</v>
      </c>
    </row>
    <row r="608" spans="1:6">
      <c r="A608" s="5" t="s">
        <v>1112</v>
      </c>
      <c r="B608" s="5" t="s">
        <v>1113</v>
      </c>
      <c r="C608" s="5" t="s">
        <v>15</v>
      </c>
      <c r="D608" s="5" t="s">
        <v>1748</v>
      </c>
      <c r="E608" s="5">
        <v>1</v>
      </c>
      <c r="F608" s="5" t="s">
        <v>2226</v>
      </c>
    </row>
    <row r="609" spans="1:6">
      <c r="A609" s="5" t="s">
        <v>1127</v>
      </c>
      <c r="B609" s="5" t="s">
        <v>1128</v>
      </c>
      <c r="C609" s="5" t="s">
        <v>15</v>
      </c>
      <c r="D609" s="5" t="s">
        <v>1735</v>
      </c>
      <c r="E609" s="5">
        <v>1</v>
      </c>
      <c r="F609" s="5" t="s">
        <v>2227</v>
      </c>
    </row>
    <row r="610" spans="1:6">
      <c r="A610" s="5" t="s">
        <v>1127</v>
      </c>
      <c r="B610" s="5" t="s">
        <v>1128</v>
      </c>
      <c r="C610" s="5" t="s">
        <v>15</v>
      </c>
      <c r="D610" s="5" t="s">
        <v>1735</v>
      </c>
      <c r="E610" s="5">
        <v>2</v>
      </c>
      <c r="F610" s="5" t="s">
        <v>1782</v>
      </c>
    </row>
    <row r="611" spans="1:6">
      <c r="A611" s="5" t="s">
        <v>1127</v>
      </c>
      <c r="B611" s="5" t="s">
        <v>1128</v>
      </c>
      <c r="C611" s="5" t="s">
        <v>15</v>
      </c>
      <c r="D611" s="5" t="s">
        <v>1735</v>
      </c>
      <c r="E611" s="5">
        <v>3</v>
      </c>
      <c r="F611" s="5" t="s">
        <v>2228</v>
      </c>
    </row>
    <row r="612" spans="1:6">
      <c r="A612" s="5" t="s">
        <v>1127</v>
      </c>
      <c r="B612" s="5" t="s">
        <v>1128</v>
      </c>
      <c r="C612" s="5" t="s">
        <v>15</v>
      </c>
      <c r="D612" s="5" t="s">
        <v>1735</v>
      </c>
      <c r="E612" s="5">
        <v>4</v>
      </c>
      <c r="F612" s="5" t="s">
        <v>263</v>
      </c>
    </row>
    <row r="613" spans="1:6">
      <c r="A613" s="5" t="s">
        <v>1127</v>
      </c>
      <c r="B613" s="5" t="s">
        <v>1128</v>
      </c>
      <c r="C613" s="5" t="s">
        <v>15</v>
      </c>
      <c r="D613" s="5" t="s">
        <v>1735</v>
      </c>
      <c r="E613" s="5">
        <v>5</v>
      </c>
      <c r="F613" s="5" t="s">
        <v>1771</v>
      </c>
    </row>
    <row r="614" spans="1:6">
      <c r="A614" s="5" t="s">
        <v>1127</v>
      </c>
      <c r="B614" s="5" t="s">
        <v>1128</v>
      </c>
      <c r="C614" s="5" t="s">
        <v>15</v>
      </c>
      <c r="D614" s="5" t="s">
        <v>1739</v>
      </c>
      <c r="E614" s="5">
        <v>1</v>
      </c>
      <c r="F614" s="5" t="s">
        <v>132</v>
      </c>
    </row>
    <row r="615" spans="1:6">
      <c r="A615" s="5" t="s">
        <v>1127</v>
      </c>
      <c r="B615" s="5" t="s">
        <v>1128</v>
      </c>
      <c r="C615" s="5" t="s">
        <v>15</v>
      </c>
      <c r="D615" s="5" t="s">
        <v>1739</v>
      </c>
      <c r="E615" s="5">
        <v>2</v>
      </c>
      <c r="F615" s="5" t="s">
        <v>2190</v>
      </c>
    </row>
    <row r="616" spans="1:6">
      <c r="A616" s="5" t="s">
        <v>1127</v>
      </c>
      <c r="B616" s="5" t="s">
        <v>1128</v>
      </c>
      <c r="C616" s="5" t="s">
        <v>15</v>
      </c>
      <c r="D616" s="5" t="s">
        <v>1739</v>
      </c>
      <c r="E616" s="5">
        <v>3</v>
      </c>
      <c r="F616" s="5" t="s">
        <v>2071</v>
      </c>
    </row>
    <row r="617" spans="1:6">
      <c r="A617" s="5" t="s">
        <v>1127</v>
      </c>
      <c r="B617" s="5" t="s">
        <v>1128</v>
      </c>
      <c r="C617" s="5" t="s">
        <v>15</v>
      </c>
      <c r="D617" s="5" t="s">
        <v>1739</v>
      </c>
      <c r="E617" s="5">
        <v>4</v>
      </c>
      <c r="F617" s="5" t="s">
        <v>1600</v>
      </c>
    </row>
    <row r="618" spans="1:6">
      <c r="A618" s="5" t="s">
        <v>1127</v>
      </c>
      <c r="B618" s="5" t="s">
        <v>1128</v>
      </c>
      <c r="C618" s="5" t="s">
        <v>15</v>
      </c>
      <c r="D618" s="5" t="s">
        <v>1739</v>
      </c>
      <c r="E618" s="5">
        <v>5</v>
      </c>
      <c r="F618" s="5" t="s">
        <v>2229</v>
      </c>
    </row>
    <row r="619" spans="1:6">
      <c r="A619" s="5" t="s">
        <v>1127</v>
      </c>
      <c r="B619" s="5" t="s">
        <v>1128</v>
      </c>
      <c r="C619" s="5" t="s">
        <v>15</v>
      </c>
      <c r="D619" s="5" t="s">
        <v>1739</v>
      </c>
      <c r="E619" s="5">
        <v>6</v>
      </c>
      <c r="F619" s="5" t="s">
        <v>1595</v>
      </c>
    </row>
    <row r="620" spans="1:6">
      <c r="A620" s="5" t="s">
        <v>1127</v>
      </c>
      <c r="B620" s="5" t="s">
        <v>1128</v>
      </c>
      <c r="C620" s="5" t="s">
        <v>15</v>
      </c>
      <c r="D620" s="5" t="s">
        <v>1739</v>
      </c>
      <c r="E620" s="5">
        <v>7</v>
      </c>
      <c r="F620" s="5" t="s">
        <v>2230</v>
      </c>
    </row>
    <row r="621" spans="1:6">
      <c r="A621" s="5" t="s">
        <v>1127</v>
      </c>
      <c r="B621" s="5" t="s">
        <v>1128</v>
      </c>
      <c r="C621" s="5" t="s">
        <v>15</v>
      </c>
      <c r="D621" s="5" t="s">
        <v>1739</v>
      </c>
      <c r="E621" s="5">
        <v>8</v>
      </c>
      <c r="F621" s="5" t="s">
        <v>2231</v>
      </c>
    </row>
    <row r="622" spans="1:6">
      <c r="A622" s="5" t="s">
        <v>1127</v>
      </c>
      <c r="B622" s="5" t="s">
        <v>1128</v>
      </c>
      <c r="C622" s="5" t="s">
        <v>15</v>
      </c>
      <c r="D622" s="5" t="s">
        <v>1743</v>
      </c>
      <c r="E622" s="5">
        <v>1</v>
      </c>
      <c r="F622" s="5" t="s">
        <v>2232</v>
      </c>
    </row>
    <row r="623" spans="1:6">
      <c r="A623" s="5" t="s">
        <v>1127</v>
      </c>
      <c r="B623" s="5" t="s">
        <v>1128</v>
      </c>
      <c r="C623" s="5" t="s">
        <v>15</v>
      </c>
      <c r="D623" s="5" t="s">
        <v>1748</v>
      </c>
      <c r="E623" s="5">
        <v>1</v>
      </c>
      <c r="F623" s="5" t="s">
        <v>2233</v>
      </c>
    </row>
    <row r="624" spans="1:6">
      <c r="A624" s="5" t="s">
        <v>1127</v>
      </c>
      <c r="B624" s="5" t="s">
        <v>1128</v>
      </c>
      <c r="C624" s="5" t="s">
        <v>15</v>
      </c>
      <c r="D624" s="5" t="s">
        <v>1748</v>
      </c>
      <c r="E624" s="5">
        <v>2</v>
      </c>
      <c r="F624" s="5" t="s">
        <v>2234</v>
      </c>
    </row>
    <row r="625" spans="1:6">
      <c r="A625" s="5" t="s">
        <v>1127</v>
      </c>
      <c r="B625" s="5" t="s">
        <v>1128</v>
      </c>
      <c r="C625" s="5" t="s">
        <v>15</v>
      </c>
      <c r="D625" s="5" t="s">
        <v>1748</v>
      </c>
      <c r="E625" s="5">
        <v>3</v>
      </c>
      <c r="F625" s="5" t="s">
        <v>1595</v>
      </c>
    </row>
    <row r="626" spans="1:6">
      <c r="A626" s="5" t="s">
        <v>1141</v>
      </c>
      <c r="B626" s="5" t="s">
        <v>1142</v>
      </c>
      <c r="C626" s="5" t="s">
        <v>15</v>
      </c>
      <c r="D626" s="5" t="s">
        <v>1735</v>
      </c>
      <c r="E626" s="5">
        <v>1</v>
      </c>
      <c r="F626" s="5" t="s">
        <v>2235</v>
      </c>
    </row>
    <row r="627" spans="1:6">
      <c r="A627" s="5" t="s">
        <v>1141</v>
      </c>
      <c r="B627" s="5" t="s">
        <v>1142</v>
      </c>
      <c r="C627" s="5" t="s">
        <v>15</v>
      </c>
      <c r="D627" s="5" t="s">
        <v>1735</v>
      </c>
      <c r="E627" s="5">
        <v>2</v>
      </c>
      <c r="F627" s="5" t="s">
        <v>1771</v>
      </c>
    </row>
    <row r="628" spans="1:6">
      <c r="A628" s="5" t="s">
        <v>1141</v>
      </c>
      <c r="B628" s="5" t="s">
        <v>1142</v>
      </c>
      <c r="C628" s="5" t="s">
        <v>15</v>
      </c>
      <c r="D628" s="5" t="s">
        <v>1735</v>
      </c>
      <c r="E628" s="5">
        <v>3</v>
      </c>
      <c r="F628" s="5" t="s">
        <v>1793</v>
      </c>
    </row>
    <row r="629" spans="1:6">
      <c r="A629" s="5" t="s">
        <v>1141</v>
      </c>
      <c r="B629" s="5" t="s">
        <v>1142</v>
      </c>
      <c r="C629" s="5" t="s">
        <v>15</v>
      </c>
      <c r="D629" s="5" t="s">
        <v>1739</v>
      </c>
      <c r="E629" s="5">
        <v>1</v>
      </c>
      <c r="F629" s="5" t="s">
        <v>2236</v>
      </c>
    </row>
    <row r="630" spans="1:6">
      <c r="A630" s="5" t="s">
        <v>1141</v>
      </c>
      <c r="B630" s="5" t="s">
        <v>1142</v>
      </c>
      <c r="C630" s="5" t="s">
        <v>15</v>
      </c>
      <c r="D630" s="5" t="s">
        <v>1743</v>
      </c>
      <c r="E630" s="5">
        <v>1</v>
      </c>
      <c r="F630" s="5" t="s">
        <v>2237</v>
      </c>
    </row>
    <row r="631" spans="1:6">
      <c r="A631" s="5" t="s">
        <v>1141</v>
      </c>
      <c r="B631" s="5" t="s">
        <v>1142</v>
      </c>
      <c r="C631" s="5" t="s">
        <v>15</v>
      </c>
      <c r="D631" s="5" t="s">
        <v>1748</v>
      </c>
      <c r="E631" s="5">
        <v>1</v>
      </c>
      <c r="F631" s="5" t="s">
        <v>2238</v>
      </c>
    </row>
    <row r="632" spans="1:6">
      <c r="A632" s="5" t="s">
        <v>1155</v>
      </c>
      <c r="B632" s="5" t="s">
        <v>1156</v>
      </c>
      <c r="C632" s="5" t="s">
        <v>15</v>
      </c>
      <c r="D632" s="5" t="s">
        <v>1735</v>
      </c>
      <c r="E632" s="5">
        <v>1</v>
      </c>
      <c r="F632" s="5" t="s">
        <v>2239</v>
      </c>
    </row>
    <row r="633" spans="1:6">
      <c r="A633" s="5" t="s">
        <v>1155</v>
      </c>
      <c r="B633" s="5" t="s">
        <v>1156</v>
      </c>
      <c r="C633" s="5" t="s">
        <v>15</v>
      </c>
      <c r="D633" s="5" t="s">
        <v>1735</v>
      </c>
      <c r="E633" s="5">
        <v>2</v>
      </c>
      <c r="F633" s="5" t="s">
        <v>2240</v>
      </c>
    </row>
    <row r="634" spans="1:6">
      <c r="A634" s="5" t="s">
        <v>1155</v>
      </c>
      <c r="B634" s="5" t="s">
        <v>1156</v>
      </c>
      <c r="C634" s="5" t="s">
        <v>15</v>
      </c>
      <c r="D634" s="5" t="s">
        <v>1735</v>
      </c>
      <c r="E634" s="5">
        <v>3</v>
      </c>
      <c r="F634" s="5" t="s">
        <v>2241</v>
      </c>
    </row>
    <row r="635" spans="1:6">
      <c r="A635" s="5" t="s">
        <v>1155</v>
      </c>
      <c r="B635" s="5" t="s">
        <v>1156</v>
      </c>
      <c r="C635" s="5" t="s">
        <v>15</v>
      </c>
      <c r="D635" s="5" t="s">
        <v>1739</v>
      </c>
      <c r="E635" s="5">
        <v>1</v>
      </c>
      <c r="F635" s="5" t="s">
        <v>2242</v>
      </c>
    </row>
    <row r="636" spans="1:6">
      <c r="A636" s="5" t="s">
        <v>1155</v>
      </c>
      <c r="B636" s="5" t="s">
        <v>1156</v>
      </c>
      <c r="C636" s="5" t="s">
        <v>15</v>
      </c>
      <c r="D636" s="5" t="s">
        <v>1739</v>
      </c>
      <c r="E636" s="5">
        <v>2</v>
      </c>
      <c r="F636" s="5" t="s">
        <v>2016</v>
      </c>
    </row>
    <row r="637" spans="1:6">
      <c r="A637" s="5" t="s">
        <v>1155</v>
      </c>
      <c r="B637" s="5" t="s">
        <v>1156</v>
      </c>
      <c r="C637" s="5" t="s">
        <v>15</v>
      </c>
      <c r="D637" s="5" t="s">
        <v>1739</v>
      </c>
      <c r="E637" s="5">
        <v>3</v>
      </c>
      <c r="F637" s="5" t="s">
        <v>2243</v>
      </c>
    </row>
    <row r="638" spans="1:6">
      <c r="A638" s="5" t="s">
        <v>1155</v>
      </c>
      <c r="B638" s="5" t="s">
        <v>1156</v>
      </c>
      <c r="C638" s="5" t="s">
        <v>15</v>
      </c>
      <c r="D638" s="5" t="s">
        <v>1739</v>
      </c>
      <c r="E638" s="5">
        <v>4</v>
      </c>
      <c r="F638" s="5" t="s">
        <v>2244</v>
      </c>
    </row>
    <row r="639" spans="1:6">
      <c r="A639" s="5" t="s">
        <v>1155</v>
      </c>
      <c r="B639" s="5" t="s">
        <v>1156</v>
      </c>
      <c r="C639" s="5" t="s">
        <v>15</v>
      </c>
      <c r="D639" s="5" t="s">
        <v>1743</v>
      </c>
      <c r="E639" s="5">
        <v>1</v>
      </c>
      <c r="F639" s="5" t="s">
        <v>2245</v>
      </c>
    </row>
    <row r="640" spans="1:6">
      <c r="A640" s="5" t="s">
        <v>1155</v>
      </c>
      <c r="B640" s="5" t="s">
        <v>1156</v>
      </c>
      <c r="C640" s="5" t="s">
        <v>15</v>
      </c>
      <c r="D640" s="5" t="s">
        <v>1743</v>
      </c>
      <c r="E640" s="5">
        <v>2</v>
      </c>
      <c r="F640" s="5" t="s">
        <v>2147</v>
      </c>
    </row>
    <row r="641" spans="1:6">
      <c r="A641" s="5" t="s">
        <v>1155</v>
      </c>
      <c r="B641" s="5" t="s">
        <v>1156</v>
      </c>
      <c r="C641" s="5" t="s">
        <v>15</v>
      </c>
      <c r="D641" s="5" t="s">
        <v>1748</v>
      </c>
      <c r="E641" s="5">
        <v>1</v>
      </c>
      <c r="F641" s="5" t="s">
        <v>2246</v>
      </c>
    </row>
    <row r="642" spans="1:6">
      <c r="A642" s="5" t="s">
        <v>1169</v>
      </c>
      <c r="B642" s="5" t="s">
        <v>1170</v>
      </c>
      <c r="C642" s="5" t="s">
        <v>15</v>
      </c>
      <c r="D642" s="5" t="s">
        <v>1735</v>
      </c>
      <c r="E642" s="5">
        <v>1</v>
      </c>
      <c r="F642" s="5" t="s">
        <v>1893</v>
      </c>
    </row>
    <row r="643" spans="1:6">
      <c r="A643" s="5" t="s">
        <v>1169</v>
      </c>
      <c r="B643" s="5" t="s">
        <v>1170</v>
      </c>
      <c r="C643" s="5" t="s">
        <v>15</v>
      </c>
      <c r="D643" s="5" t="s">
        <v>1735</v>
      </c>
      <c r="E643" s="5">
        <v>2</v>
      </c>
      <c r="F643" s="5" t="s">
        <v>1857</v>
      </c>
    </row>
    <row r="644" spans="1:6">
      <c r="A644" s="5" t="s">
        <v>1169</v>
      </c>
      <c r="B644" s="5" t="s">
        <v>1170</v>
      </c>
      <c r="C644" s="5" t="s">
        <v>15</v>
      </c>
      <c r="D644" s="5" t="s">
        <v>1735</v>
      </c>
      <c r="E644" s="5">
        <v>3</v>
      </c>
      <c r="F644" s="5" t="s">
        <v>1894</v>
      </c>
    </row>
    <row r="645" spans="1:6">
      <c r="A645" s="5" t="s">
        <v>1169</v>
      </c>
      <c r="B645" s="5" t="s">
        <v>1170</v>
      </c>
      <c r="C645" s="5" t="s">
        <v>15</v>
      </c>
      <c r="D645" s="5" t="s">
        <v>1735</v>
      </c>
      <c r="E645" s="5">
        <v>4</v>
      </c>
      <c r="F645" s="5" t="s">
        <v>1784</v>
      </c>
    </row>
    <row r="646" spans="1:6">
      <c r="A646" s="5" t="s">
        <v>1169</v>
      </c>
      <c r="B646" s="5" t="s">
        <v>1170</v>
      </c>
      <c r="C646" s="5" t="s">
        <v>15</v>
      </c>
      <c r="D646" s="5" t="s">
        <v>1739</v>
      </c>
      <c r="E646" s="5">
        <v>1</v>
      </c>
      <c r="F646" s="5" t="s">
        <v>2247</v>
      </c>
    </row>
    <row r="647" spans="1:6">
      <c r="A647" s="5" t="s">
        <v>1169</v>
      </c>
      <c r="B647" s="5" t="s">
        <v>1170</v>
      </c>
      <c r="C647" s="5" t="s">
        <v>15</v>
      </c>
      <c r="D647" s="5" t="s">
        <v>1739</v>
      </c>
      <c r="E647" s="5">
        <v>2</v>
      </c>
      <c r="F647" s="5" t="s">
        <v>2248</v>
      </c>
    </row>
    <row r="648" spans="1:6">
      <c r="A648" s="5" t="s">
        <v>1169</v>
      </c>
      <c r="B648" s="5" t="s">
        <v>1170</v>
      </c>
      <c r="C648" s="5" t="s">
        <v>15</v>
      </c>
      <c r="D648" s="5" t="s">
        <v>1739</v>
      </c>
      <c r="E648" s="5">
        <v>3</v>
      </c>
      <c r="F648" s="5" t="s">
        <v>2230</v>
      </c>
    </row>
    <row r="649" spans="1:6">
      <c r="A649" s="5" t="s">
        <v>1169</v>
      </c>
      <c r="B649" s="5" t="s">
        <v>1170</v>
      </c>
      <c r="C649" s="5" t="s">
        <v>15</v>
      </c>
      <c r="D649" s="5" t="s">
        <v>1739</v>
      </c>
      <c r="E649" s="5">
        <v>4</v>
      </c>
      <c r="F649" s="5" t="s">
        <v>1522</v>
      </c>
    </row>
    <row r="650" spans="1:6">
      <c r="A650" s="5" t="s">
        <v>1169</v>
      </c>
      <c r="B650" s="5" t="s">
        <v>1170</v>
      </c>
      <c r="C650" s="5" t="s">
        <v>15</v>
      </c>
      <c r="D650" s="5" t="s">
        <v>1739</v>
      </c>
      <c r="E650" s="5">
        <v>5</v>
      </c>
      <c r="F650" s="5" t="s">
        <v>2249</v>
      </c>
    </row>
    <row r="651" spans="1:6">
      <c r="A651" s="5" t="s">
        <v>1169</v>
      </c>
      <c r="B651" s="5" t="s">
        <v>1170</v>
      </c>
      <c r="C651" s="5" t="s">
        <v>15</v>
      </c>
      <c r="D651" s="5" t="s">
        <v>1743</v>
      </c>
      <c r="E651" s="5">
        <v>1</v>
      </c>
      <c r="F651" s="5" t="s">
        <v>2250</v>
      </c>
    </row>
    <row r="652" spans="1:6">
      <c r="A652" s="5" t="s">
        <v>1169</v>
      </c>
      <c r="B652" s="5" t="s">
        <v>1170</v>
      </c>
      <c r="C652" s="5" t="s">
        <v>15</v>
      </c>
      <c r="D652" s="5" t="s">
        <v>1743</v>
      </c>
      <c r="E652" s="5">
        <v>2</v>
      </c>
      <c r="F652" s="5" t="s">
        <v>2251</v>
      </c>
    </row>
    <row r="653" spans="1:6">
      <c r="A653" s="5" t="s">
        <v>1169</v>
      </c>
      <c r="B653" s="5" t="s">
        <v>1170</v>
      </c>
      <c r="C653" s="5" t="s">
        <v>15</v>
      </c>
      <c r="D653" s="5" t="s">
        <v>1743</v>
      </c>
      <c r="E653" s="5">
        <v>3</v>
      </c>
      <c r="F653" s="5" t="s">
        <v>2252</v>
      </c>
    </row>
    <row r="654" spans="1:6">
      <c r="A654" s="5" t="s">
        <v>1169</v>
      </c>
      <c r="B654" s="5" t="s">
        <v>1170</v>
      </c>
      <c r="C654" s="5" t="s">
        <v>15</v>
      </c>
      <c r="D654" s="5" t="s">
        <v>1748</v>
      </c>
      <c r="E654" s="5">
        <v>1</v>
      </c>
      <c r="F654" s="5" t="s">
        <v>2253</v>
      </c>
    </row>
    <row r="655" spans="1:6">
      <c r="A655" s="5" t="s">
        <v>1169</v>
      </c>
      <c r="B655" s="5" t="s">
        <v>1170</v>
      </c>
      <c r="C655" s="5" t="s">
        <v>15</v>
      </c>
      <c r="D655" s="5" t="s">
        <v>1748</v>
      </c>
      <c r="E655" s="5">
        <v>2</v>
      </c>
      <c r="F655" s="5" t="s">
        <v>2254</v>
      </c>
    </row>
    <row r="656" spans="1:6">
      <c r="A656" s="5" t="s">
        <v>1182</v>
      </c>
      <c r="B656" s="5" t="s">
        <v>1183</v>
      </c>
      <c r="C656" s="5" t="s">
        <v>15</v>
      </c>
      <c r="D656" s="5" t="s">
        <v>1735</v>
      </c>
      <c r="E656" s="5">
        <v>1</v>
      </c>
      <c r="F656" s="5" t="s">
        <v>2255</v>
      </c>
    </row>
    <row r="657" spans="1:6">
      <c r="A657" s="5" t="s">
        <v>1182</v>
      </c>
      <c r="B657" s="5" t="s">
        <v>1183</v>
      </c>
      <c r="C657" s="5" t="s">
        <v>15</v>
      </c>
      <c r="D657" s="5" t="s">
        <v>1735</v>
      </c>
      <c r="E657" s="5">
        <v>2</v>
      </c>
      <c r="F657" s="5" t="s">
        <v>1771</v>
      </c>
    </row>
    <row r="658" spans="1:6">
      <c r="A658" s="5" t="s">
        <v>1182</v>
      </c>
      <c r="B658" s="5" t="s">
        <v>1183</v>
      </c>
      <c r="C658" s="5" t="s">
        <v>15</v>
      </c>
      <c r="D658" s="5" t="s">
        <v>1735</v>
      </c>
      <c r="E658" s="5">
        <v>3</v>
      </c>
      <c r="F658" s="5" t="s">
        <v>1920</v>
      </c>
    </row>
    <row r="659" spans="1:6">
      <c r="A659" s="5" t="s">
        <v>1182</v>
      </c>
      <c r="B659" s="5" t="s">
        <v>1183</v>
      </c>
      <c r="C659" s="5" t="s">
        <v>15</v>
      </c>
      <c r="D659" s="5" t="s">
        <v>1735</v>
      </c>
      <c r="E659" s="5">
        <v>4</v>
      </c>
      <c r="F659" s="5" t="s">
        <v>1784</v>
      </c>
    </row>
    <row r="660" spans="1:6">
      <c r="A660" s="5" t="s">
        <v>1182</v>
      </c>
      <c r="B660" s="5" t="s">
        <v>1183</v>
      </c>
      <c r="C660" s="5" t="s">
        <v>15</v>
      </c>
      <c r="D660" s="5" t="s">
        <v>1739</v>
      </c>
      <c r="E660" s="5">
        <v>1</v>
      </c>
      <c r="F660" s="5" t="s">
        <v>2256</v>
      </c>
    </row>
    <row r="661" spans="1:6">
      <c r="A661" s="5" t="s">
        <v>1182</v>
      </c>
      <c r="B661" s="5" t="s">
        <v>1183</v>
      </c>
      <c r="C661" s="5" t="s">
        <v>15</v>
      </c>
      <c r="D661" s="5" t="s">
        <v>1739</v>
      </c>
      <c r="E661" s="5">
        <v>2</v>
      </c>
      <c r="F661" s="5" t="s">
        <v>2257</v>
      </c>
    </row>
    <row r="662" spans="1:6">
      <c r="A662" s="5" t="s">
        <v>1182</v>
      </c>
      <c r="B662" s="5" t="s">
        <v>1183</v>
      </c>
      <c r="C662" s="5" t="s">
        <v>15</v>
      </c>
      <c r="D662" s="5" t="s">
        <v>1739</v>
      </c>
      <c r="E662" s="5">
        <v>3</v>
      </c>
      <c r="F662" s="5" t="s">
        <v>2258</v>
      </c>
    </row>
    <row r="663" spans="1:6">
      <c r="A663" s="5" t="s">
        <v>1182</v>
      </c>
      <c r="B663" s="5" t="s">
        <v>1183</v>
      </c>
      <c r="C663" s="5" t="s">
        <v>15</v>
      </c>
      <c r="D663" s="5" t="s">
        <v>1739</v>
      </c>
      <c r="E663" s="5">
        <v>4</v>
      </c>
      <c r="F663" s="5" t="s">
        <v>2259</v>
      </c>
    </row>
    <row r="664" spans="1:6">
      <c r="A664" s="5" t="s">
        <v>1182</v>
      </c>
      <c r="B664" s="5" t="s">
        <v>1183</v>
      </c>
      <c r="C664" s="5" t="s">
        <v>15</v>
      </c>
      <c r="D664" s="5" t="s">
        <v>1743</v>
      </c>
      <c r="E664" s="5">
        <v>1</v>
      </c>
      <c r="F664" s="5" t="s">
        <v>2260</v>
      </c>
    </row>
    <row r="665" spans="1:6">
      <c r="A665" s="5" t="s">
        <v>1182</v>
      </c>
      <c r="B665" s="5" t="s">
        <v>1183</v>
      </c>
      <c r="C665" s="5" t="s">
        <v>15</v>
      </c>
      <c r="D665" s="5" t="s">
        <v>1743</v>
      </c>
      <c r="E665" s="5">
        <v>2</v>
      </c>
      <c r="F665" s="5" t="s">
        <v>2261</v>
      </c>
    </row>
    <row r="666" spans="1:6">
      <c r="A666" s="5" t="s">
        <v>1182</v>
      </c>
      <c r="B666" s="5" t="s">
        <v>1183</v>
      </c>
      <c r="C666" s="5" t="s">
        <v>15</v>
      </c>
      <c r="D666" s="5" t="s">
        <v>1748</v>
      </c>
      <c r="E666" s="5">
        <v>1</v>
      </c>
      <c r="F666" s="5" t="s">
        <v>2262</v>
      </c>
    </row>
    <row r="667" spans="1:6">
      <c r="A667" s="5" t="s">
        <v>1182</v>
      </c>
      <c r="B667" s="5" t="s">
        <v>1183</v>
      </c>
      <c r="C667" s="5" t="s">
        <v>15</v>
      </c>
      <c r="D667" s="5" t="s">
        <v>1748</v>
      </c>
      <c r="E667" s="5">
        <v>2</v>
      </c>
      <c r="F667" s="5" t="s">
        <v>2263</v>
      </c>
    </row>
    <row r="668" spans="1:6">
      <c r="A668" s="5" t="s">
        <v>1195</v>
      </c>
      <c r="B668" s="5" t="s">
        <v>1196</v>
      </c>
      <c r="C668" s="5" t="s">
        <v>15</v>
      </c>
      <c r="D668" s="5" t="s">
        <v>1735</v>
      </c>
      <c r="E668" s="5">
        <v>1</v>
      </c>
      <c r="F668" s="5" t="s">
        <v>1920</v>
      </c>
    </row>
    <row r="669" spans="1:6">
      <c r="A669" s="5" t="s">
        <v>1195</v>
      </c>
      <c r="B669" s="5" t="s">
        <v>1196</v>
      </c>
      <c r="C669" s="5" t="s">
        <v>15</v>
      </c>
      <c r="D669" s="5" t="s">
        <v>1735</v>
      </c>
      <c r="E669" s="5">
        <v>2</v>
      </c>
      <c r="F669" s="5" t="s">
        <v>1918</v>
      </c>
    </row>
    <row r="670" spans="1:6">
      <c r="A670" s="5" t="s">
        <v>1195</v>
      </c>
      <c r="B670" s="5" t="s">
        <v>1196</v>
      </c>
      <c r="C670" s="5" t="s">
        <v>15</v>
      </c>
      <c r="D670" s="5" t="s">
        <v>1735</v>
      </c>
      <c r="E670" s="5">
        <v>3</v>
      </c>
      <c r="F670" s="5" t="s">
        <v>1936</v>
      </c>
    </row>
    <row r="671" spans="1:6">
      <c r="A671" s="5" t="s">
        <v>1195</v>
      </c>
      <c r="B671" s="5" t="s">
        <v>1196</v>
      </c>
      <c r="C671" s="5" t="s">
        <v>15</v>
      </c>
      <c r="D671" s="5" t="s">
        <v>1735</v>
      </c>
      <c r="E671" s="5">
        <v>4</v>
      </c>
      <c r="F671" s="5" t="s">
        <v>1935</v>
      </c>
    </row>
    <row r="672" spans="1:6">
      <c r="A672" s="5" t="s">
        <v>1195</v>
      </c>
      <c r="B672" s="5" t="s">
        <v>1196</v>
      </c>
      <c r="C672" s="5" t="s">
        <v>15</v>
      </c>
      <c r="D672" s="5" t="s">
        <v>1739</v>
      </c>
      <c r="E672" s="5">
        <v>1</v>
      </c>
      <c r="F672" s="5" t="s">
        <v>2264</v>
      </c>
    </row>
    <row r="673" spans="1:6">
      <c r="A673" s="5" t="s">
        <v>1195</v>
      </c>
      <c r="B673" s="5" t="s">
        <v>1196</v>
      </c>
      <c r="C673" s="5" t="s">
        <v>15</v>
      </c>
      <c r="D673" s="5" t="s">
        <v>1739</v>
      </c>
      <c r="E673" s="5">
        <v>2</v>
      </c>
      <c r="F673" s="5" t="s">
        <v>1675</v>
      </c>
    </row>
    <row r="674" spans="1:6">
      <c r="A674" s="5" t="s">
        <v>1195</v>
      </c>
      <c r="B674" s="5" t="s">
        <v>1196</v>
      </c>
      <c r="C674" s="5" t="s">
        <v>15</v>
      </c>
      <c r="D674" s="5" t="s">
        <v>1739</v>
      </c>
      <c r="E674" s="5">
        <v>3</v>
      </c>
      <c r="F674" s="5" t="s">
        <v>2265</v>
      </c>
    </row>
    <row r="675" spans="1:6">
      <c r="A675" s="5" t="s">
        <v>1195</v>
      </c>
      <c r="B675" s="5" t="s">
        <v>1196</v>
      </c>
      <c r="C675" s="5" t="s">
        <v>15</v>
      </c>
      <c r="D675" s="5" t="s">
        <v>1739</v>
      </c>
      <c r="E675" s="5">
        <v>4</v>
      </c>
      <c r="F675" s="5" t="s">
        <v>2154</v>
      </c>
    </row>
    <row r="676" spans="1:6">
      <c r="A676" s="5" t="s">
        <v>1195</v>
      </c>
      <c r="B676" s="5" t="s">
        <v>1196</v>
      </c>
      <c r="C676" s="5" t="s">
        <v>15</v>
      </c>
      <c r="D676" s="5" t="s">
        <v>1739</v>
      </c>
      <c r="E676" s="5">
        <v>5</v>
      </c>
      <c r="F676" s="5" t="s">
        <v>2266</v>
      </c>
    </row>
    <row r="677" spans="1:6">
      <c r="A677" s="5" t="s">
        <v>1195</v>
      </c>
      <c r="B677" s="5" t="s">
        <v>1196</v>
      </c>
      <c r="C677" s="5" t="s">
        <v>15</v>
      </c>
      <c r="D677" s="5" t="s">
        <v>1739</v>
      </c>
      <c r="E677" s="5">
        <v>6</v>
      </c>
      <c r="F677" s="5" t="s">
        <v>2110</v>
      </c>
    </row>
    <row r="678" spans="1:6">
      <c r="A678" s="5" t="s">
        <v>1195</v>
      </c>
      <c r="B678" s="5" t="s">
        <v>1196</v>
      </c>
      <c r="C678" s="5" t="s">
        <v>15</v>
      </c>
      <c r="D678" s="5" t="s">
        <v>1743</v>
      </c>
      <c r="E678" s="5">
        <v>1</v>
      </c>
      <c r="F678" s="5" t="s">
        <v>2155</v>
      </c>
    </row>
    <row r="679" spans="1:6">
      <c r="A679" s="5" t="s">
        <v>1195</v>
      </c>
      <c r="B679" s="5" t="s">
        <v>1196</v>
      </c>
      <c r="C679" s="5" t="s">
        <v>15</v>
      </c>
      <c r="D679" s="5" t="s">
        <v>1743</v>
      </c>
      <c r="E679" s="5">
        <v>2</v>
      </c>
      <c r="F679" s="5" t="s">
        <v>2267</v>
      </c>
    </row>
    <row r="680" spans="1:6">
      <c r="A680" s="5" t="s">
        <v>1195</v>
      </c>
      <c r="B680" s="5" t="s">
        <v>1196</v>
      </c>
      <c r="C680" s="5" t="s">
        <v>15</v>
      </c>
      <c r="D680" s="5" t="s">
        <v>1748</v>
      </c>
      <c r="E680" s="5">
        <v>1</v>
      </c>
      <c r="F680" s="5" t="s">
        <v>2268</v>
      </c>
    </row>
    <row r="681" spans="1:6">
      <c r="A681" s="5" t="s">
        <v>1208</v>
      </c>
      <c r="B681" s="5" t="s">
        <v>1209</v>
      </c>
      <c r="C681" s="5" t="s">
        <v>11</v>
      </c>
      <c r="D681" s="5" t="s">
        <v>1735</v>
      </c>
      <c r="E681" s="5">
        <v>1</v>
      </c>
      <c r="F681" s="5" t="s">
        <v>1751</v>
      </c>
    </row>
    <row r="682" spans="1:6">
      <c r="A682" s="5" t="s">
        <v>1208</v>
      </c>
      <c r="B682" s="5" t="s">
        <v>1209</v>
      </c>
      <c r="C682" s="5" t="s">
        <v>11</v>
      </c>
      <c r="D682" s="5" t="s">
        <v>1735</v>
      </c>
      <c r="E682" s="5">
        <v>2</v>
      </c>
      <c r="F682" s="5" t="s">
        <v>2269</v>
      </c>
    </row>
    <row r="683" spans="1:6">
      <c r="A683" s="5" t="s">
        <v>1208</v>
      </c>
      <c r="B683" s="5" t="s">
        <v>1209</v>
      </c>
      <c r="C683" s="5" t="s">
        <v>11</v>
      </c>
      <c r="D683" s="5" t="s">
        <v>1735</v>
      </c>
      <c r="E683" s="5">
        <v>3</v>
      </c>
      <c r="F683" s="5" t="s">
        <v>2270</v>
      </c>
    </row>
    <row r="684" spans="1:6">
      <c r="A684" s="5" t="s">
        <v>1208</v>
      </c>
      <c r="B684" s="5" t="s">
        <v>1209</v>
      </c>
      <c r="C684" s="5" t="s">
        <v>11</v>
      </c>
      <c r="D684" s="5" t="s">
        <v>1739</v>
      </c>
      <c r="E684" s="5">
        <v>1</v>
      </c>
      <c r="F684" s="5" t="s">
        <v>2271</v>
      </c>
    </row>
    <row r="685" spans="1:6">
      <c r="A685" s="5" t="s">
        <v>1208</v>
      </c>
      <c r="B685" s="5" t="s">
        <v>1209</v>
      </c>
      <c r="C685" s="5" t="s">
        <v>11</v>
      </c>
      <c r="D685" s="5" t="s">
        <v>1743</v>
      </c>
      <c r="E685" s="5">
        <v>1</v>
      </c>
      <c r="F685" s="5" t="s">
        <v>2272</v>
      </c>
    </row>
    <row r="686" spans="1:6">
      <c r="A686" s="5" t="s">
        <v>1208</v>
      </c>
      <c r="B686" s="5" t="s">
        <v>1209</v>
      </c>
      <c r="C686" s="5" t="s">
        <v>11</v>
      </c>
      <c r="D686" s="5" t="s">
        <v>1743</v>
      </c>
      <c r="E686" s="5">
        <v>2</v>
      </c>
      <c r="F686" s="5" t="s">
        <v>2147</v>
      </c>
    </row>
    <row r="687" spans="1:6">
      <c r="A687" s="5" t="s">
        <v>1208</v>
      </c>
      <c r="B687" s="5" t="s">
        <v>1209</v>
      </c>
      <c r="C687" s="5" t="s">
        <v>11</v>
      </c>
      <c r="D687" s="5" t="s">
        <v>1748</v>
      </c>
      <c r="E687" s="5">
        <v>1</v>
      </c>
      <c r="F687" s="5" t="s">
        <v>2273</v>
      </c>
    </row>
    <row r="688" spans="1:6">
      <c r="A688" s="5" t="s">
        <v>1223</v>
      </c>
      <c r="B688" s="5" t="s">
        <v>1224</v>
      </c>
      <c r="C688" s="5" t="s">
        <v>11</v>
      </c>
      <c r="D688" s="5" t="s">
        <v>1735</v>
      </c>
      <c r="E688" s="5">
        <v>1</v>
      </c>
      <c r="F688" s="5" t="s">
        <v>1781</v>
      </c>
    </row>
    <row r="689" spans="1:6">
      <c r="A689" s="5" t="s">
        <v>1223</v>
      </c>
      <c r="B689" s="5" t="s">
        <v>1224</v>
      </c>
      <c r="C689" s="5" t="s">
        <v>11</v>
      </c>
      <c r="D689" s="5" t="s">
        <v>1735</v>
      </c>
      <c r="E689" s="5">
        <v>2</v>
      </c>
      <c r="F689" s="5" t="s">
        <v>2274</v>
      </c>
    </row>
    <row r="690" spans="1:6">
      <c r="A690" s="5" t="s">
        <v>1223</v>
      </c>
      <c r="B690" s="5" t="s">
        <v>1224</v>
      </c>
      <c r="C690" s="5" t="s">
        <v>11</v>
      </c>
      <c r="D690" s="5" t="s">
        <v>1735</v>
      </c>
      <c r="E690" s="5">
        <v>3</v>
      </c>
      <c r="F690" s="5" t="s">
        <v>2275</v>
      </c>
    </row>
    <row r="691" spans="1:6">
      <c r="A691" s="5" t="s">
        <v>1223</v>
      </c>
      <c r="B691" s="5" t="s">
        <v>1224</v>
      </c>
      <c r="C691" s="5" t="s">
        <v>11</v>
      </c>
      <c r="D691" s="5" t="s">
        <v>1735</v>
      </c>
      <c r="E691" s="5">
        <v>4</v>
      </c>
      <c r="F691" s="5" t="s">
        <v>2078</v>
      </c>
    </row>
    <row r="692" spans="1:6">
      <c r="A692" s="5" t="s">
        <v>1223</v>
      </c>
      <c r="B692" s="5" t="s">
        <v>1224</v>
      </c>
      <c r="C692" s="5" t="s">
        <v>11</v>
      </c>
      <c r="D692" s="5" t="s">
        <v>1739</v>
      </c>
      <c r="E692" s="5">
        <v>1</v>
      </c>
      <c r="F692" s="5" t="s">
        <v>2276</v>
      </c>
    </row>
    <row r="693" spans="1:6">
      <c r="A693" s="5" t="s">
        <v>1223</v>
      </c>
      <c r="B693" s="5" t="s">
        <v>1224</v>
      </c>
      <c r="C693" s="5" t="s">
        <v>11</v>
      </c>
      <c r="D693" s="5" t="s">
        <v>1739</v>
      </c>
      <c r="E693" s="5">
        <v>2</v>
      </c>
      <c r="F693" s="5" t="s">
        <v>2277</v>
      </c>
    </row>
    <row r="694" spans="1:6">
      <c r="A694" s="5" t="s">
        <v>1223</v>
      </c>
      <c r="B694" s="5" t="s">
        <v>1224</v>
      </c>
      <c r="C694" s="5" t="s">
        <v>11</v>
      </c>
      <c r="D694" s="5" t="s">
        <v>1739</v>
      </c>
      <c r="E694" s="5">
        <v>3</v>
      </c>
      <c r="F694" s="5" t="s">
        <v>2278</v>
      </c>
    </row>
    <row r="695" spans="1:6">
      <c r="A695" s="5" t="s">
        <v>1223</v>
      </c>
      <c r="B695" s="5" t="s">
        <v>1224</v>
      </c>
      <c r="C695" s="5" t="s">
        <v>11</v>
      </c>
      <c r="D695" s="5" t="s">
        <v>1739</v>
      </c>
      <c r="E695" s="5">
        <v>4</v>
      </c>
      <c r="F695" s="5" t="s">
        <v>1595</v>
      </c>
    </row>
    <row r="696" spans="1:6">
      <c r="A696" s="5" t="s">
        <v>1223</v>
      </c>
      <c r="B696" s="5" t="s">
        <v>1224</v>
      </c>
      <c r="C696" s="5" t="s">
        <v>11</v>
      </c>
      <c r="D696" s="5" t="s">
        <v>1739</v>
      </c>
      <c r="E696" s="5">
        <v>5</v>
      </c>
      <c r="F696" s="5" t="s">
        <v>2279</v>
      </c>
    </row>
    <row r="697" spans="1:6">
      <c r="A697" s="5" t="s">
        <v>1223</v>
      </c>
      <c r="B697" s="5" t="s">
        <v>1224</v>
      </c>
      <c r="C697" s="5" t="s">
        <v>11</v>
      </c>
      <c r="D697" s="5" t="s">
        <v>1739</v>
      </c>
      <c r="E697" s="5">
        <v>6</v>
      </c>
      <c r="F697" s="5" t="s">
        <v>2280</v>
      </c>
    </row>
    <row r="698" spans="1:6">
      <c r="A698" s="5" t="s">
        <v>1223</v>
      </c>
      <c r="B698" s="5" t="s">
        <v>1224</v>
      </c>
      <c r="C698" s="5" t="s">
        <v>11</v>
      </c>
      <c r="D698" s="5" t="s">
        <v>1743</v>
      </c>
      <c r="E698" s="5">
        <v>1</v>
      </c>
      <c r="F698" s="5" t="s">
        <v>2281</v>
      </c>
    </row>
    <row r="699" spans="1:6">
      <c r="A699" s="5" t="s">
        <v>1223</v>
      </c>
      <c r="B699" s="5" t="s">
        <v>1224</v>
      </c>
      <c r="C699" s="5" t="s">
        <v>11</v>
      </c>
      <c r="D699" s="5" t="s">
        <v>1748</v>
      </c>
      <c r="E699" s="5">
        <v>1</v>
      </c>
      <c r="F699" s="5" t="s">
        <v>2282</v>
      </c>
    </row>
    <row r="700" spans="1:6">
      <c r="A700" s="5" t="s">
        <v>1237</v>
      </c>
      <c r="B700" s="5" t="s">
        <v>1238</v>
      </c>
      <c r="C700" s="5" t="s">
        <v>11</v>
      </c>
      <c r="D700" s="5" t="s">
        <v>1735</v>
      </c>
      <c r="E700" s="5">
        <v>1</v>
      </c>
      <c r="F700" s="5" t="s">
        <v>2283</v>
      </c>
    </row>
    <row r="701" spans="1:6">
      <c r="A701" s="5" t="s">
        <v>1237</v>
      </c>
      <c r="B701" s="5" t="s">
        <v>1238</v>
      </c>
      <c r="C701" s="5" t="s">
        <v>11</v>
      </c>
      <c r="D701" s="5" t="s">
        <v>1735</v>
      </c>
      <c r="E701" s="5">
        <v>2</v>
      </c>
      <c r="F701" s="5" t="s">
        <v>2284</v>
      </c>
    </row>
    <row r="702" spans="1:6">
      <c r="A702" s="5" t="s">
        <v>1237</v>
      </c>
      <c r="B702" s="5" t="s">
        <v>1238</v>
      </c>
      <c r="C702" s="5" t="s">
        <v>11</v>
      </c>
      <c r="D702" s="5" t="s">
        <v>1735</v>
      </c>
      <c r="E702" s="5">
        <v>3</v>
      </c>
      <c r="F702" s="5" t="s">
        <v>2285</v>
      </c>
    </row>
    <row r="703" spans="1:6">
      <c r="A703" s="5" t="s">
        <v>1237</v>
      </c>
      <c r="B703" s="5" t="s">
        <v>1238</v>
      </c>
      <c r="C703" s="5" t="s">
        <v>11</v>
      </c>
      <c r="D703" s="5" t="s">
        <v>1735</v>
      </c>
      <c r="E703" s="5">
        <v>4</v>
      </c>
      <c r="F703" s="5" t="s">
        <v>2089</v>
      </c>
    </row>
    <row r="704" spans="1:6">
      <c r="A704" s="5" t="s">
        <v>1237</v>
      </c>
      <c r="B704" s="5" t="s">
        <v>1238</v>
      </c>
      <c r="C704" s="5" t="s">
        <v>11</v>
      </c>
      <c r="D704" s="5" t="s">
        <v>1739</v>
      </c>
      <c r="E704" s="5">
        <v>1</v>
      </c>
      <c r="F704" s="5" t="s">
        <v>2286</v>
      </c>
    </row>
    <row r="705" spans="1:6">
      <c r="A705" s="5" t="s">
        <v>1237</v>
      </c>
      <c r="B705" s="5" t="s">
        <v>1238</v>
      </c>
      <c r="C705" s="5" t="s">
        <v>11</v>
      </c>
      <c r="D705" s="5" t="s">
        <v>1743</v>
      </c>
      <c r="E705" s="5">
        <v>1</v>
      </c>
      <c r="F705" s="5" t="s">
        <v>2287</v>
      </c>
    </row>
    <row r="706" spans="1:6">
      <c r="A706" s="5" t="s">
        <v>1237</v>
      </c>
      <c r="B706" s="5" t="s">
        <v>1238</v>
      </c>
      <c r="C706" s="5" t="s">
        <v>11</v>
      </c>
      <c r="D706" s="5" t="s">
        <v>1748</v>
      </c>
      <c r="E706" s="5">
        <v>1</v>
      </c>
      <c r="F706" s="5" t="s">
        <v>2288</v>
      </c>
    </row>
    <row r="707" spans="1:6">
      <c r="A707" s="5" t="s">
        <v>1251</v>
      </c>
      <c r="B707" s="5" t="s">
        <v>1252</v>
      </c>
      <c r="C707" s="5" t="s">
        <v>11</v>
      </c>
      <c r="D707" s="5" t="s">
        <v>1735</v>
      </c>
      <c r="E707" s="5">
        <v>1</v>
      </c>
      <c r="F707" s="5" t="s">
        <v>1918</v>
      </c>
    </row>
    <row r="708" spans="1:6">
      <c r="A708" s="5" t="s">
        <v>1251</v>
      </c>
      <c r="B708" s="5" t="s">
        <v>1252</v>
      </c>
      <c r="C708" s="5" t="s">
        <v>11</v>
      </c>
      <c r="D708" s="5" t="s">
        <v>1735</v>
      </c>
      <c r="E708" s="5">
        <v>2</v>
      </c>
      <c r="F708" s="5" t="s">
        <v>1790</v>
      </c>
    </row>
    <row r="709" spans="1:6">
      <c r="A709" s="5" t="s">
        <v>1251</v>
      </c>
      <c r="B709" s="5" t="s">
        <v>1252</v>
      </c>
      <c r="C709" s="5" t="s">
        <v>11</v>
      </c>
      <c r="D709" s="5" t="s">
        <v>1735</v>
      </c>
      <c r="E709" s="5">
        <v>3</v>
      </c>
      <c r="F709" s="5" t="s">
        <v>2289</v>
      </c>
    </row>
    <row r="710" spans="1:6">
      <c r="A710" s="5" t="s">
        <v>1251</v>
      </c>
      <c r="B710" s="5" t="s">
        <v>1252</v>
      </c>
      <c r="C710" s="5" t="s">
        <v>11</v>
      </c>
      <c r="D710" s="5" t="s">
        <v>1735</v>
      </c>
      <c r="E710" s="5">
        <v>4</v>
      </c>
      <c r="F710" s="5" t="s">
        <v>2290</v>
      </c>
    </row>
    <row r="711" spans="1:6">
      <c r="A711" s="5" t="s">
        <v>1251</v>
      </c>
      <c r="B711" s="5" t="s">
        <v>1252</v>
      </c>
      <c r="C711" s="5" t="s">
        <v>11</v>
      </c>
      <c r="D711" s="5" t="s">
        <v>1739</v>
      </c>
      <c r="E711" s="5">
        <v>1</v>
      </c>
      <c r="F711" s="5" t="s">
        <v>2291</v>
      </c>
    </row>
    <row r="712" spans="1:6">
      <c r="A712" s="5" t="s">
        <v>1251</v>
      </c>
      <c r="B712" s="5" t="s">
        <v>1252</v>
      </c>
      <c r="C712" s="5" t="s">
        <v>11</v>
      </c>
      <c r="D712" s="5" t="s">
        <v>1739</v>
      </c>
      <c r="E712" s="5">
        <v>2</v>
      </c>
      <c r="F712" s="5" t="s">
        <v>2292</v>
      </c>
    </row>
    <row r="713" spans="1:6">
      <c r="A713" s="5" t="s">
        <v>1251</v>
      </c>
      <c r="B713" s="5" t="s">
        <v>1252</v>
      </c>
      <c r="C713" s="5" t="s">
        <v>11</v>
      </c>
      <c r="D713" s="5" t="s">
        <v>1739</v>
      </c>
      <c r="E713" s="5">
        <v>3</v>
      </c>
      <c r="F713" s="5" t="s">
        <v>2293</v>
      </c>
    </row>
    <row r="714" spans="1:6">
      <c r="A714" s="5" t="s">
        <v>1251</v>
      </c>
      <c r="B714" s="5" t="s">
        <v>1252</v>
      </c>
      <c r="C714" s="5" t="s">
        <v>11</v>
      </c>
      <c r="D714" s="5" t="s">
        <v>1739</v>
      </c>
      <c r="E714" s="5">
        <v>4</v>
      </c>
      <c r="F714" s="5" t="s">
        <v>2152</v>
      </c>
    </row>
    <row r="715" spans="1:6">
      <c r="A715" s="5" t="s">
        <v>1251</v>
      </c>
      <c r="B715" s="5" t="s">
        <v>1252</v>
      </c>
      <c r="C715" s="5" t="s">
        <v>11</v>
      </c>
      <c r="D715" s="5" t="s">
        <v>1739</v>
      </c>
      <c r="E715" s="5">
        <v>5</v>
      </c>
      <c r="F715" s="5" t="s">
        <v>2294</v>
      </c>
    </row>
    <row r="716" spans="1:6">
      <c r="A716" s="5" t="s">
        <v>1251</v>
      </c>
      <c r="B716" s="5" t="s">
        <v>1252</v>
      </c>
      <c r="C716" s="5" t="s">
        <v>11</v>
      </c>
      <c r="D716" s="5" t="s">
        <v>1743</v>
      </c>
      <c r="E716" s="5">
        <v>1</v>
      </c>
      <c r="F716" s="5" t="s">
        <v>2295</v>
      </c>
    </row>
    <row r="717" spans="1:6">
      <c r="A717" s="5" t="s">
        <v>1251</v>
      </c>
      <c r="B717" s="5" t="s">
        <v>1252</v>
      </c>
      <c r="C717" s="5" t="s">
        <v>11</v>
      </c>
      <c r="D717" s="5" t="s">
        <v>1743</v>
      </c>
      <c r="E717" s="5">
        <v>2</v>
      </c>
      <c r="F717" s="5" t="s">
        <v>2296</v>
      </c>
    </row>
    <row r="718" spans="1:6">
      <c r="A718" s="5" t="s">
        <v>1251</v>
      </c>
      <c r="B718" s="5" t="s">
        <v>1252</v>
      </c>
      <c r="C718" s="5" t="s">
        <v>11</v>
      </c>
      <c r="D718" s="5" t="s">
        <v>1748</v>
      </c>
      <c r="E718" s="5">
        <v>1</v>
      </c>
      <c r="F718" s="5" t="s">
        <v>2297</v>
      </c>
    </row>
    <row r="719" spans="1:6">
      <c r="A719" s="5" t="s">
        <v>1265</v>
      </c>
      <c r="B719" s="5" t="s">
        <v>1266</v>
      </c>
      <c r="C719" s="5" t="s">
        <v>11</v>
      </c>
      <c r="D719" s="5" t="s">
        <v>1735</v>
      </c>
      <c r="E719" s="5">
        <v>1</v>
      </c>
      <c r="F719" s="5" t="s">
        <v>2298</v>
      </c>
    </row>
    <row r="720" spans="1:6">
      <c r="A720" s="5" t="s">
        <v>1265</v>
      </c>
      <c r="B720" s="5" t="s">
        <v>1266</v>
      </c>
      <c r="C720" s="5" t="s">
        <v>11</v>
      </c>
      <c r="D720" s="5" t="s">
        <v>1735</v>
      </c>
      <c r="E720" s="5">
        <v>2</v>
      </c>
      <c r="F720" s="5" t="s">
        <v>2299</v>
      </c>
    </row>
    <row r="721" spans="1:6">
      <c r="A721" s="5" t="s">
        <v>1265</v>
      </c>
      <c r="B721" s="5" t="s">
        <v>1266</v>
      </c>
      <c r="C721" s="5" t="s">
        <v>11</v>
      </c>
      <c r="D721" s="5" t="s">
        <v>1735</v>
      </c>
      <c r="E721" s="5">
        <v>3</v>
      </c>
      <c r="F721" s="5" t="s">
        <v>2300</v>
      </c>
    </row>
    <row r="722" spans="1:6">
      <c r="A722" s="5" t="s">
        <v>1265</v>
      </c>
      <c r="B722" s="5" t="s">
        <v>1266</v>
      </c>
      <c r="C722" s="5" t="s">
        <v>11</v>
      </c>
      <c r="D722" s="5" t="s">
        <v>1739</v>
      </c>
      <c r="E722" s="5">
        <v>1</v>
      </c>
      <c r="F722" s="5" t="s">
        <v>2301</v>
      </c>
    </row>
    <row r="723" spans="1:6">
      <c r="A723" s="5" t="s">
        <v>1265</v>
      </c>
      <c r="B723" s="5" t="s">
        <v>1266</v>
      </c>
      <c r="C723" s="5" t="s">
        <v>11</v>
      </c>
      <c r="D723" s="5" t="s">
        <v>1739</v>
      </c>
      <c r="E723" s="5">
        <v>2</v>
      </c>
      <c r="F723" s="5" t="s">
        <v>2302</v>
      </c>
    </row>
    <row r="724" spans="1:6">
      <c r="A724" s="5" t="s">
        <v>1265</v>
      </c>
      <c r="B724" s="5" t="s">
        <v>1266</v>
      </c>
      <c r="C724" s="5" t="s">
        <v>11</v>
      </c>
      <c r="D724" s="5" t="s">
        <v>1739</v>
      </c>
      <c r="E724" s="5">
        <v>3</v>
      </c>
      <c r="F724" s="5" t="s">
        <v>2303</v>
      </c>
    </row>
    <row r="725" spans="1:6">
      <c r="A725" s="5" t="s">
        <v>1265</v>
      </c>
      <c r="B725" s="5" t="s">
        <v>1266</v>
      </c>
      <c r="C725" s="5" t="s">
        <v>11</v>
      </c>
      <c r="D725" s="5" t="s">
        <v>1739</v>
      </c>
      <c r="E725" s="5">
        <v>4</v>
      </c>
      <c r="F725" s="5" t="s">
        <v>2304</v>
      </c>
    </row>
    <row r="726" spans="1:6">
      <c r="A726" s="5" t="s">
        <v>1265</v>
      </c>
      <c r="B726" s="5" t="s">
        <v>1266</v>
      </c>
      <c r="C726" s="5" t="s">
        <v>11</v>
      </c>
      <c r="D726" s="5" t="s">
        <v>1743</v>
      </c>
      <c r="E726" s="5">
        <v>1</v>
      </c>
      <c r="F726" s="5" t="s">
        <v>2165</v>
      </c>
    </row>
    <row r="727" spans="1:6">
      <c r="A727" s="5" t="s">
        <v>1265</v>
      </c>
      <c r="B727" s="5" t="s">
        <v>1266</v>
      </c>
      <c r="C727" s="5" t="s">
        <v>11</v>
      </c>
      <c r="D727" s="5" t="s">
        <v>1743</v>
      </c>
      <c r="E727" s="5">
        <v>2</v>
      </c>
      <c r="F727" s="5" t="s">
        <v>2305</v>
      </c>
    </row>
    <row r="728" spans="1:6">
      <c r="A728" s="5" t="s">
        <v>1265</v>
      </c>
      <c r="B728" s="5" t="s">
        <v>1266</v>
      </c>
      <c r="C728" s="5" t="s">
        <v>11</v>
      </c>
      <c r="D728" s="5" t="s">
        <v>1748</v>
      </c>
      <c r="E728" s="5">
        <v>1</v>
      </c>
      <c r="F728" s="5" t="s">
        <v>2306</v>
      </c>
    </row>
    <row r="729" spans="1:6">
      <c r="A729" s="5" t="s">
        <v>1278</v>
      </c>
      <c r="B729" s="5" t="s">
        <v>1279</v>
      </c>
      <c r="C729" s="5" t="s">
        <v>11</v>
      </c>
      <c r="D729" s="5" t="s">
        <v>1735</v>
      </c>
      <c r="E729" s="5">
        <v>1</v>
      </c>
      <c r="F729" s="5" t="s">
        <v>2307</v>
      </c>
    </row>
    <row r="730" spans="1:6">
      <c r="A730" s="5" t="s">
        <v>1278</v>
      </c>
      <c r="B730" s="5" t="s">
        <v>1279</v>
      </c>
      <c r="C730" s="5" t="s">
        <v>11</v>
      </c>
      <c r="D730" s="5" t="s">
        <v>1735</v>
      </c>
      <c r="E730" s="5">
        <v>2</v>
      </c>
      <c r="F730" s="5" t="s">
        <v>2308</v>
      </c>
    </row>
    <row r="731" spans="1:6">
      <c r="A731" s="5" t="s">
        <v>1278</v>
      </c>
      <c r="B731" s="5" t="s">
        <v>1279</v>
      </c>
      <c r="C731" s="5" t="s">
        <v>11</v>
      </c>
      <c r="D731" s="5" t="s">
        <v>1735</v>
      </c>
      <c r="E731" s="5">
        <v>3</v>
      </c>
      <c r="F731" s="5" t="s">
        <v>2309</v>
      </c>
    </row>
    <row r="732" spans="1:6">
      <c r="A732" s="5" t="s">
        <v>1278</v>
      </c>
      <c r="B732" s="5" t="s">
        <v>1279</v>
      </c>
      <c r="C732" s="5" t="s">
        <v>11</v>
      </c>
      <c r="D732" s="5" t="s">
        <v>1739</v>
      </c>
      <c r="E732" s="5">
        <v>1</v>
      </c>
      <c r="F732" s="5" t="s">
        <v>1540</v>
      </c>
    </row>
    <row r="733" spans="1:6">
      <c r="A733" s="5" t="s">
        <v>1278</v>
      </c>
      <c r="B733" s="5" t="s">
        <v>1279</v>
      </c>
      <c r="C733" s="5" t="s">
        <v>11</v>
      </c>
      <c r="D733" s="5" t="s">
        <v>1739</v>
      </c>
      <c r="E733" s="5">
        <v>2</v>
      </c>
      <c r="F733" s="5" t="s">
        <v>2310</v>
      </c>
    </row>
    <row r="734" spans="1:6">
      <c r="A734" s="5" t="s">
        <v>1278</v>
      </c>
      <c r="B734" s="5" t="s">
        <v>1279</v>
      </c>
      <c r="C734" s="5" t="s">
        <v>11</v>
      </c>
      <c r="D734" s="5" t="s">
        <v>1739</v>
      </c>
      <c r="E734" s="5">
        <v>3</v>
      </c>
      <c r="F734" s="5" t="s">
        <v>2311</v>
      </c>
    </row>
    <row r="735" spans="1:6">
      <c r="A735" s="5" t="s">
        <v>1278</v>
      </c>
      <c r="B735" s="5" t="s">
        <v>1279</v>
      </c>
      <c r="C735" s="5" t="s">
        <v>11</v>
      </c>
      <c r="D735" s="5" t="s">
        <v>1739</v>
      </c>
      <c r="E735" s="5">
        <v>4</v>
      </c>
      <c r="F735" s="5" t="s">
        <v>2312</v>
      </c>
    </row>
    <row r="736" spans="1:6">
      <c r="A736" s="5" t="s">
        <v>1278</v>
      </c>
      <c r="B736" s="5" t="s">
        <v>1279</v>
      </c>
      <c r="C736" s="5" t="s">
        <v>11</v>
      </c>
      <c r="D736" s="5" t="s">
        <v>1743</v>
      </c>
      <c r="E736" s="5">
        <v>1</v>
      </c>
      <c r="F736" s="5" t="s">
        <v>2313</v>
      </c>
    </row>
    <row r="737" spans="1:6">
      <c r="A737" s="5" t="s">
        <v>1278</v>
      </c>
      <c r="B737" s="5" t="s">
        <v>1279</v>
      </c>
      <c r="C737" s="5" t="s">
        <v>11</v>
      </c>
      <c r="D737" s="5" t="s">
        <v>1743</v>
      </c>
      <c r="E737" s="5">
        <v>2</v>
      </c>
      <c r="F737" s="5" t="s">
        <v>2314</v>
      </c>
    </row>
    <row r="738" spans="1:6">
      <c r="A738" s="5" t="s">
        <v>1278</v>
      </c>
      <c r="B738" s="5" t="s">
        <v>1279</v>
      </c>
      <c r="C738" s="5" t="s">
        <v>11</v>
      </c>
      <c r="D738" s="5" t="s">
        <v>1748</v>
      </c>
      <c r="E738" s="5">
        <v>1</v>
      </c>
      <c r="F738" s="5" t="s">
        <v>2315</v>
      </c>
    </row>
    <row r="739" spans="1:6">
      <c r="A739" s="5" t="s">
        <v>1291</v>
      </c>
      <c r="B739" s="5" t="s">
        <v>1292</v>
      </c>
      <c r="C739" s="5" t="s">
        <v>11</v>
      </c>
      <c r="D739" s="5" t="s">
        <v>1735</v>
      </c>
      <c r="E739" s="5">
        <v>1</v>
      </c>
      <c r="F739" s="5" t="s">
        <v>2316</v>
      </c>
    </row>
    <row r="740" spans="1:6">
      <c r="A740" s="5" t="s">
        <v>1291</v>
      </c>
      <c r="B740" s="5" t="s">
        <v>1292</v>
      </c>
      <c r="C740" s="5" t="s">
        <v>11</v>
      </c>
      <c r="D740" s="5" t="s">
        <v>1735</v>
      </c>
      <c r="E740" s="5">
        <v>2</v>
      </c>
      <c r="F740" s="5" t="s">
        <v>2317</v>
      </c>
    </row>
    <row r="741" spans="1:6">
      <c r="A741" s="5" t="s">
        <v>1291</v>
      </c>
      <c r="B741" s="5" t="s">
        <v>1292</v>
      </c>
      <c r="C741" s="5" t="s">
        <v>11</v>
      </c>
      <c r="D741" s="5" t="s">
        <v>1735</v>
      </c>
      <c r="E741" s="5">
        <v>3</v>
      </c>
      <c r="F741" s="5" t="s">
        <v>2318</v>
      </c>
    </row>
    <row r="742" spans="1:6">
      <c r="A742" s="5" t="s">
        <v>1291</v>
      </c>
      <c r="B742" s="5" t="s">
        <v>1292</v>
      </c>
      <c r="C742" s="5" t="s">
        <v>11</v>
      </c>
      <c r="D742" s="5" t="s">
        <v>1739</v>
      </c>
      <c r="E742" s="5">
        <v>1</v>
      </c>
      <c r="F742" s="5" t="s">
        <v>1540</v>
      </c>
    </row>
    <row r="743" spans="1:6">
      <c r="A743" s="5" t="s">
        <v>1291</v>
      </c>
      <c r="B743" s="5" t="s">
        <v>1292</v>
      </c>
      <c r="C743" s="5" t="s">
        <v>11</v>
      </c>
      <c r="D743" s="5" t="s">
        <v>1739</v>
      </c>
      <c r="E743" s="5">
        <v>2</v>
      </c>
      <c r="F743" s="5" t="s">
        <v>1643</v>
      </c>
    </row>
    <row r="744" spans="1:6">
      <c r="A744" s="5" t="s">
        <v>1291</v>
      </c>
      <c r="B744" s="5" t="s">
        <v>1292</v>
      </c>
      <c r="C744" s="5" t="s">
        <v>11</v>
      </c>
      <c r="D744" s="5" t="s">
        <v>1739</v>
      </c>
      <c r="E744" s="5">
        <v>3</v>
      </c>
      <c r="F744" s="5" t="s">
        <v>1947</v>
      </c>
    </row>
    <row r="745" spans="1:6">
      <c r="A745" s="5" t="s">
        <v>1291</v>
      </c>
      <c r="B745" s="5" t="s">
        <v>1292</v>
      </c>
      <c r="C745" s="5" t="s">
        <v>11</v>
      </c>
      <c r="D745" s="5" t="s">
        <v>1739</v>
      </c>
      <c r="E745" s="5">
        <v>4</v>
      </c>
      <c r="F745" s="5" t="s">
        <v>2319</v>
      </c>
    </row>
    <row r="746" spans="1:6">
      <c r="A746" s="5" t="s">
        <v>1291</v>
      </c>
      <c r="B746" s="5" t="s">
        <v>1292</v>
      </c>
      <c r="C746" s="5" t="s">
        <v>11</v>
      </c>
      <c r="D746" s="5" t="s">
        <v>1743</v>
      </c>
      <c r="E746" s="5">
        <v>1</v>
      </c>
      <c r="F746" s="5" t="s">
        <v>2320</v>
      </c>
    </row>
    <row r="747" spans="1:6">
      <c r="A747" s="5" t="s">
        <v>1291</v>
      </c>
      <c r="B747" s="5" t="s">
        <v>1292</v>
      </c>
      <c r="C747" s="5" t="s">
        <v>11</v>
      </c>
      <c r="D747" s="5" t="s">
        <v>1748</v>
      </c>
      <c r="E747" s="5">
        <v>1</v>
      </c>
      <c r="F747" s="5" t="s">
        <v>2321</v>
      </c>
    </row>
    <row r="748" spans="1:6">
      <c r="A748" s="5" t="s">
        <v>1304</v>
      </c>
      <c r="B748" s="5" t="s">
        <v>1305</v>
      </c>
      <c r="C748" s="5" t="s">
        <v>32</v>
      </c>
      <c r="D748" s="5" t="s">
        <v>1735</v>
      </c>
      <c r="E748" s="5">
        <v>1</v>
      </c>
      <c r="F748" s="5" t="s">
        <v>2322</v>
      </c>
    </row>
    <row r="749" spans="1:6">
      <c r="A749" s="5" t="s">
        <v>1304</v>
      </c>
      <c r="B749" s="5" t="s">
        <v>1305</v>
      </c>
      <c r="C749" s="5" t="s">
        <v>32</v>
      </c>
      <c r="D749" s="5" t="s">
        <v>1735</v>
      </c>
      <c r="E749" s="5">
        <v>2</v>
      </c>
      <c r="F749" s="5" t="s">
        <v>1990</v>
      </c>
    </row>
    <row r="750" spans="1:6">
      <c r="A750" s="5" t="s">
        <v>1304</v>
      </c>
      <c r="B750" s="5" t="s">
        <v>1305</v>
      </c>
      <c r="C750" s="5" t="s">
        <v>32</v>
      </c>
      <c r="D750" s="5" t="s">
        <v>1735</v>
      </c>
      <c r="E750" s="5">
        <v>3</v>
      </c>
      <c r="F750" s="5" t="s">
        <v>2323</v>
      </c>
    </row>
    <row r="751" spans="1:6">
      <c r="A751" s="5" t="s">
        <v>1304</v>
      </c>
      <c r="B751" s="5" t="s">
        <v>1305</v>
      </c>
      <c r="C751" s="5" t="s">
        <v>32</v>
      </c>
      <c r="D751" s="5" t="s">
        <v>1735</v>
      </c>
      <c r="E751" s="5">
        <v>4</v>
      </c>
      <c r="F751" s="5" t="s">
        <v>1964</v>
      </c>
    </row>
    <row r="752" spans="1:6">
      <c r="A752" s="5" t="s">
        <v>1304</v>
      </c>
      <c r="B752" s="5" t="s">
        <v>1305</v>
      </c>
      <c r="C752" s="5" t="s">
        <v>32</v>
      </c>
      <c r="D752" s="5" t="s">
        <v>1735</v>
      </c>
      <c r="E752" s="5">
        <v>5</v>
      </c>
      <c r="F752" s="5" t="s">
        <v>2324</v>
      </c>
    </row>
    <row r="753" spans="1:6">
      <c r="A753" s="5" t="s">
        <v>1304</v>
      </c>
      <c r="B753" s="5" t="s">
        <v>1305</v>
      </c>
      <c r="C753" s="5" t="s">
        <v>32</v>
      </c>
      <c r="D753" s="5" t="s">
        <v>1739</v>
      </c>
      <c r="E753" s="5">
        <v>1</v>
      </c>
      <c r="F753" s="5" t="s">
        <v>2325</v>
      </c>
    </row>
    <row r="754" spans="1:6">
      <c r="A754" s="5" t="s">
        <v>1304</v>
      </c>
      <c r="B754" s="5" t="s">
        <v>1305</v>
      </c>
      <c r="C754" s="5" t="s">
        <v>32</v>
      </c>
      <c r="D754" s="5" t="s">
        <v>1743</v>
      </c>
      <c r="E754" s="5">
        <v>1</v>
      </c>
      <c r="F754" s="5" t="s">
        <v>2326</v>
      </c>
    </row>
    <row r="755" spans="1:6">
      <c r="A755" s="5" t="s">
        <v>1304</v>
      </c>
      <c r="B755" s="5" t="s">
        <v>1305</v>
      </c>
      <c r="C755" s="5" t="s">
        <v>32</v>
      </c>
      <c r="D755" s="5" t="s">
        <v>1743</v>
      </c>
      <c r="E755" s="5">
        <v>2</v>
      </c>
      <c r="F755" s="5" t="s">
        <v>2327</v>
      </c>
    </row>
    <row r="756" spans="1:6">
      <c r="A756" s="5" t="s">
        <v>1304</v>
      </c>
      <c r="B756" s="5" t="s">
        <v>1305</v>
      </c>
      <c r="C756" s="5" t="s">
        <v>32</v>
      </c>
      <c r="D756" s="5" t="s">
        <v>1743</v>
      </c>
      <c r="E756" s="5">
        <v>3</v>
      </c>
      <c r="F756" s="5" t="s">
        <v>2328</v>
      </c>
    </row>
    <row r="757" spans="1:6">
      <c r="A757" s="5" t="s">
        <v>1304</v>
      </c>
      <c r="B757" s="5" t="s">
        <v>1305</v>
      </c>
      <c r="C757" s="5" t="s">
        <v>32</v>
      </c>
      <c r="D757" s="5" t="s">
        <v>1748</v>
      </c>
      <c r="E757" s="5">
        <v>1</v>
      </c>
      <c r="F757" s="5" t="s">
        <v>1994</v>
      </c>
    </row>
    <row r="758" spans="1:6">
      <c r="A758" s="5" t="s">
        <v>1304</v>
      </c>
      <c r="B758" s="5" t="s">
        <v>1305</v>
      </c>
      <c r="C758" s="5" t="s">
        <v>32</v>
      </c>
      <c r="D758" s="5" t="s">
        <v>1748</v>
      </c>
      <c r="E758" s="5">
        <v>2</v>
      </c>
      <c r="F758" s="5" t="s">
        <v>2329</v>
      </c>
    </row>
    <row r="759" spans="1:6">
      <c r="A759" s="5" t="s">
        <v>1304</v>
      </c>
      <c r="B759" s="5" t="s">
        <v>1305</v>
      </c>
      <c r="C759" s="5" t="s">
        <v>32</v>
      </c>
      <c r="D759" s="5" t="s">
        <v>1748</v>
      </c>
      <c r="E759" s="5">
        <v>3</v>
      </c>
      <c r="F759" s="5" t="s">
        <v>2330</v>
      </c>
    </row>
    <row r="760" spans="1:6">
      <c r="A760" s="5" t="s">
        <v>1319</v>
      </c>
      <c r="B760" s="5" t="s">
        <v>1320</v>
      </c>
      <c r="C760" s="5" t="s">
        <v>32</v>
      </c>
      <c r="D760" s="5" t="s">
        <v>1735</v>
      </c>
      <c r="E760" s="5">
        <v>1</v>
      </c>
      <c r="F760" s="5" t="s">
        <v>1790</v>
      </c>
    </row>
    <row r="761" spans="1:6">
      <c r="A761" s="5" t="s">
        <v>1319</v>
      </c>
      <c r="B761" s="5" t="s">
        <v>1320</v>
      </c>
      <c r="C761" s="5" t="s">
        <v>32</v>
      </c>
      <c r="D761" s="5" t="s">
        <v>1735</v>
      </c>
      <c r="E761" s="5">
        <v>2</v>
      </c>
      <c r="F761" s="5" t="s">
        <v>2006</v>
      </c>
    </row>
    <row r="762" spans="1:6">
      <c r="A762" s="5" t="s">
        <v>1319</v>
      </c>
      <c r="B762" s="5" t="s">
        <v>1320</v>
      </c>
      <c r="C762" s="5" t="s">
        <v>32</v>
      </c>
      <c r="D762" s="5" t="s">
        <v>1735</v>
      </c>
      <c r="E762" s="5">
        <v>3</v>
      </c>
      <c r="F762" s="5" t="s">
        <v>2331</v>
      </c>
    </row>
    <row r="763" spans="1:6">
      <c r="A763" s="5" t="s">
        <v>1319</v>
      </c>
      <c r="B763" s="5" t="s">
        <v>1320</v>
      </c>
      <c r="C763" s="5" t="s">
        <v>32</v>
      </c>
      <c r="D763" s="5" t="s">
        <v>1735</v>
      </c>
      <c r="E763" s="5">
        <v>4</v>
      </c>
      <c r="F763" s="5" t="s">
        <v>2332</v>
      </c>
    </row>
    <row r="764" spans="1:6">
      <c r="A764" s="5" t="s">
        <v>1319</v>
      </c>
      <c r="B764" s="5" t="s">
        <v>1320</v>
      </c>
      <c r="C764" s="5" t="s">
        <v>32</v>
      </c>
      <c r="D764" s="5" t="s">
        <v>1739</v>
      </c>
      <c r="E764" s="5">
        <v>1</v>
      </c>
      <c r="F764" s="5" t="s">
        <v>2333</v>
      </c>
    </row>
    <row r="765" spans="1:6">
      <c r="A765" s="5" t="s">
        <v>1319</v>
      </c>
      <c r="B765" s="5" t="s">
        <v>1320</v>
      </c>
      <c r="C765" s="5" t="s">
        <v>32</v>
      </c>
      <c r="D765" s="5" t="s">
        <v>1739</v>
      </c>
      <c r="E765" s="5">
        <v>2</v>
      </c>
      <c r="F765" s="5" t="s">
        <v>2334</v>
      </c>
    </row>
    <row r="766" spans="1:6">
      <c r="A766" s="5" t="s">
        <v>1319</v>
      </c>
      <c r="B766" s="5" t="s">
        <v>1320</v>
      </c>
      <c r="C766" s="5" t="s">
        <v>32</v>
      </c>
      <c r="D766" s="5" t="s">
        <v>1743</v>
      </c>
      <c r="E766" s="5">
        <v>1</v>
      </c>
      <c r="F766" s="5" t="s">
        <v>2335</v>
      </c>
    </row>
    <row r="767" spans="1:6">
      <c r="A767" s="5" t="s">
        <v>1319</v>
      </c>
      <c r="B767" s="5" t="s">
        <v>1320</v>
      </c>
      <c r="C767" s="5" t="s">
        <v>32</v>
      </c>
      <c r="D767" s="5" t="s">
        <v>1743</v>
      </c>
      <c r="E767" s="5">
        <v>2</v>
      </c>
      <c r="F767" s="5" t="s">
        <v>2336</v>
      </c>
    </row>
    <row r="768" spans="1:6">
      <c r="A768" s="5" t="s">
        <v>1319</v>
      </c>
      <c r="B768" s="5" t="s">
        <v>1320</v>
      </c>
      <c r="C768" s="5" t="s">
        <v>32</v>
      </c>
      <c r="D768" s="5" t="s">
        <v>1743</v>
      </c>
      <c r="E768" s="5">
        <v>3</v>
      </c>
      <c r="F768" s="5" t="s">
        <v>2337</v>
      </c>
    </row>
    <row r="769" spans="1:6">
      <c r="A769" s="5" t="s">
        <v>1319</v>
      </c>
      <c r="B769" s="5" t="s">
        <v>1320</v>
      </c>
      <c r="C769" s="5" t="s">
        <v>32</v>
      </c>
      <c r="D769" s="5" t="s">
        <v>1748</v>
      </c>
      <c r="E769" s="5">
        <v>1</v>
      </c>
      <c r="F769" s="5" t="s">
        <v>2338</v>
      </c>
    </row>
    <row r="770" spans="1:6">
      <c r="A770" s="5" t="s">
        <v>1319</v>
      </c>
      <c r="B770" s="5" t="s">
        <v>1320</v>
      </c>
      <c r="C770" s="5" t="s">
        <v>32</v>
      </c>
      <c r="D770" s="5" t="s">
        <v>1748</v>
      </c>
      <c r="E770" s="5">
        <v>2</v>
      </c>
      <c r="F770" s="5" t="s">
        <v>2339</v>
      </c>
    </row>
    <row r="771" spans="1:6">
      <c r="A771" s="5" t="s">
        <v>1319</v>
      </c>
      <c r="B771" s="5" t="s">
        <v>1320</v>
      </c>
      <c r="C771" s="5" t="s">
        <v>32</v>
      </c>
      <c r="D771" s="5" t="s">
        <v>1748</v>
      </c>
      <c r="E771" s="5">
        <v>3</v>
      </c>
      <c r="F771" s="5" t="s">
        <v>2340</v>
      </c>
    </row>
    <row r="772" spans="1:6">
      <c r="A772" s="5" t="s">
        <v>1333</v>
      </c>
      <c r="B772" s="5" t="s">
        <v>1334</v>
      </c>
      <c r="C772" s="5" t="s">
        <v>32</v>
      </c>
      <c r="D772" s="5" t="s">
        <v>1735</v>
      </c>
      <c r="E772" s="5">
        <v>1</v>
      </c>
      <c r="F772" s="5" t="s">
        <v>1958</v>
      </c>
    </row>
    <row r="773" spans="1:6">
      <c r="A773" s="5" t="s">
        <v>1333</v>
      </c>
      <c r="B773" s="5" t="s">
        <v>1334</v>
      </c>
      <c r="C773" s="5" t="s">
        <v>32</v>
      </c>
      <c r="D773" s="5" t="s">
        <v>1735</v>
      </c>
      <c r="E773" s="5">
        <v>2</v>
      </c>
      <c r="F773" s="5" t="s">
        <v>2341</v>
      </c>
    </row>
    <row r="774" spans="1:6">
      <c r="A774" s="5" t="s">
        <v>1333</v>
      </c>
      <c r="B774" s="5" t="s">
        <v>1334</v>
      </c>
      <c r="C774" s="5" t="s">
        <v>32</v>
      </c>
      <c r="D774" s="5" t="s">
        <v>1735</v>
      </c>
      <c r="E774" s="5">
        <v>3</v>
      </c>
      <c r="F774" s="5" t="s">
        <v>1895</v>
      </c>
    </row>
    <row r="775" spans="1:6">
      <c r="A775" s="5" t="s">
        <v>1333</v>
      </c>
      <c r="B775" s="5" t="s">
        <v>1334</v>
      </c>
      <c r="C775" s="5" t="s">
        <v>32</v>
      </c>
      <c r="D775" s="5" t="s">
        <v>1735</v>
      </c>
      <c r="E775" s="5">
        <v>4</v>
      </c>
      <c r="F775" s="5" t="s">
        <v>2342</v>
      </c>
    </row>
    <row r="776" spans="1:6">
      <c r="A776" s="5" t="s">
        <v>1333</v>
      </c>
      <c r="B776" s="5" t="s">
        <v>1334</v>
      </c>
      <c r="C776" s="5" t="s">
        <v>32</v>
      </c>
      <c r="D776" s="5" t="s">
        <v>1739</v>
      </c>
      <c r="E776" s="5">
        <v>1</v>
      </c>
      <c r="F776" s="5" t="s">
        <v>2343</v>
      </c>
    </row>
    <row r="777" spans="1:6">
      <c r="A777" s="5" t="s">
        <v>1333</v>
      </c>
      <c r="B777" s="5" t="s">
        <v>1334</v>
      </c>
      <c r="C777" s="5" t="s">
        <v>32</v>
      </c>
      <c r="D777" s="5" t="s">
        <v>1743</v>
      </c>
      <c r="E777" s="5">
        <v>1</v>
      </c>
      <c r="F777" s="5" t="s">
        <v>2344</v>
      </c>
    </row>
    <row r="778" spans="1:6">
      <c r="A778" s="5" t="s">
        <v>1333</v>
      </c>
      <c r="B778" s="5" t="s">
        <v>1334</v>
      </c>
      <c r="C778" s="5" t="s">
        <v>32</v>
      </c>
      <c r="D778" s="5" t="s">
        <v>1743</v>
      </c>
      <c r="E778" s="5">
        <v>2</v>
      </c>
      <c r="F778" s="5" t="s">
        <v>2345</v>
      </c>
    </row>
    <row r="779" spans="1:6">
      <c r="A779" s="5" t="s">
        <v>1333</v>
      </c>
      <c r="B779" s="5" t="s">
        <v>1334</v>
      </c>
      <c r="C779" s="5" t="s">
        <v>32</v>
      </c>
      <c r="D779" s="5" t="s">
        <v>1748</v>
      </c>
      <c r="E779" s="5">
        <v>1</v>
      </c>
      <c r="F779" s="5" t="s">
        <v>2346</v>
      </c>
    </row>
    <row r="780" spans="1:6">
      <c r="A780" s="5" t="s">
        <v>1347</v>
      </c>
      <c r="B780" s="5" t="s">
        <v>1348</v>
      </c>
      <c r="C780" s="5" t="s">
        <v>32</v>
      </c>
      <c r="D780" s="5" t="s">
        <v>1735</v>
      </c>
      <c r="E780" s="5">
        <v>1</v>
      </c>
      <c r="F780" s="5" t="s">
        <v>1790</v>
      </c>
    </row>
    <row r="781" spans="1:6">
      <c r="A781" s="5" t="s">
        <v>1347</v>
      </c>
      <c r="B781" s="5" t="s">
        <v>1348</v>
      </c>
      <c r="C781" s="5" t="s">
        <v>32</v>
      </c>
      <c r="D781" s="5" t="s">
        <v>1735</v>
      </c>
      <c r="E781" s="5">
        <v>2</v>
      </c>
      <c r="F781" s="5" t="s">
        <v>2347</v>
      </c>
    </row>
    <row r="782" spans="1:6">
      <c r="A782" s="5" t="s">
        <v>1347</v>
      </c>
      <c r="B782" s="5" t="s">
        <v>1348</v>
      </c>
      <c r="C782" s="5" t="s">
        <v>32</v>
      </c>
      <c r="D782" s="5" t="s">
        <v>1735</v>
      </c>
      <c r="E782" s="5">
        <v>3</v>
      </c>
      <c r="F782" s="5" t="s">
        <v>2348</v>
      </c>
    </row>
    <row r="783" spans="1:6">
      <c r="A783" s="5" t="s">
        <v>1347</v>
      </c>
      <c r="B783" s="5" t="s">
        <v>1348</v>
      </c>
      <c r="C783" s="5" t="s">
        <v>32</v>
      </c>
      <c r="D783" s="5" t="s">
        <v>1735</v>
      </c>
      <c r="E783" s="5">
        <v>4</v>
      </c>
      <c r="F783" s="5" t="s">
        <v>2349</v>
      </c>
    </row>
    <row r="784" spans="1:6">
      <c r="A784" s="5" t="s">
        <v>1347</v>
      </c>
      <c r="B784" s="5" t="s">
        <v>1348</v>
      </c>
      <c r="C784" s="5" t="s">
        <v>32</v>
      </c>
      <c r="D784" s="5" t="s">
        <v>1739</v>
      </c>
      <c r="E784" s="5">
        <v>1</v>
      </c>
      <c r="F784" s="5" t="s">
        <v>2350</v>
      </c>
    </row>
    <row r="785" spans="1:6">
      <c r="A785" s="5" t="s">
        <v>1347</v>
      </c>
      <c r="B785" s="5" t="s">
        <v>1348</v>
      </c>
      <c r="C785" s="5" t="s">
        <v>32</v>
      </c>
      <c r="D785" s="5" t="s">
        <v>1743</v>
      </c>
      <c r="E785" s="5">
        <v>1</v>
      </c>
      <c r="F785" s="5" t="s">
        <v>2351</v>
      </c>
    </row>
    <row r="786" spans="1:6">
      <c r="A786" s="5" t="s">
        <v>1347</v>
      </c>
      <c r="B786" s="5" t="s">
        <v>1348</v>
      </c>
      <c r="C786" s="5" t="s">
        <v>32</v>
      </c>
      <c r="D786" s="5" t="s">
        <v>1748</v>
      </c>
      <c r="E786" s="5">
        <v>1</v>
      </c>
      <c r="F786" s="5" t="s">
        <v>2352</v>
      </c>
    </row>
    <row r="787" spans="1:6">
      <c r="A787" s="5" t="s">
        <v>1361</v>
      </c>
      <c r="B787" s="5" t="s">
        <v>1362</v>
      </c>
      <c r="C787" s="5" t="s">
        <v>32</v>
      </c>
      <c r="D787" s="5" t="s">
        <v>1735</v>
      </c>
      <c r="E787" s="5">
        <v>1</v>
      </c>
      <c r="F787" s="5" t="s">
        <v>1781</v>
      </c>
    </row>
    <row r="788" spans="1:6">
      <c r="A788" s="5" t="s">
        <v>1361</v>
      </c>
      <c r="B788" s="5" t="s">
        <v>1362</v>
      </c>
      <c r="C788" s="5" t="s">
        <v>32</v>
      </c>
      <c r="D788" s="5" t="s">
        <v>1735</v>
      </c>
      <c r="E788" s="5">
        <v>2</v>
      </c>
      <c r="F788" s="5" t="s">
        <v>2185</v>
      </c>
    </row>
    <row r="789" spans="1:6">
      <c r="A789" s="5" t="s">
        <v>1361</v>
      </c>
      <c r="B789" s="5" t="s">
        <v>1362</v>
      </c>
      <c r="C789" s="5" t="s">
        <v>32</v>
      </c>
      <c r="D789" s="5" t="s">
        <v>1735</v>
      </c>
      <c r="E789" s="5">
        <v>3</v>
      </c>
      <c r="F789" s="5" t="s">
        <v>2045</v>
      </c>
    </row>
    <row r="790" spans="1:6">
      <c r="A790" s="5" t="s">
        <v>1361</v>
      </c>
      <c r="B790" s="5" t="s">
        <v>1362</v>
      </c>
      <c r="C790" s="5" t="s">
        <v>32</v>
      </c>
      <c r="D790" s="5" t="s">
        <v>1735</v>
      </c>
      <c r="E790" s="5">
        <v>4</v>
      </c>
      <c r="F790" s="5" t="s">
        <v>2353</v>
      </c>
    </row>
    <row r="791" spans="1:6">
      <c r="A791" s="5" t="s">
        <v>1361</v>
      </c>
      <c r="B791" s="5" t="s">
        <v>1362</v>
      </c>
      <c r="C791" s="5" t="s">
        <v>32</v>
      </c>
      <c r="D791" s="5" t="s">
        <v>1735</v>
      </c>
      <c r="E791" s="5">
        <v>5</v>
      </c>
      <c r="F791" s="5" t="s">
        <v>2046</v>
      </c>
    </row>
    <row r="792" spans="1:6">
      <c r="A792" s="5" t="s">
        <v>1361</v>
      </c>
      <c r="B792" s="5" t="s">
        <v>1362</v>
      </c>
      <c r="C792" s="5" t="s">
        <v>32</v>
      </c>
      <c r="D792" s="5" t="s">
        <v>1739</v>
      </c>
      <c r="E792" s="5">
        <v>1</v>
      </c>
      <c r="F792" s="5" t="s">
        <v>2354</v>
      </c>
    </row>
    <row r="793" spans="1:6">
      <c r="A793" s="5" t="s">
        <v>1361</v>
      </c>
      <c r="B793" s="5" t="s">
        <v>1362</v>
      </c>
      <c r="C793" s="5" t="s">
        <v>32</v>
      </c>
      <c r="D793" s="5" t="s">
        <v>1743</v>
      </c>
      <c r="E793" s="5">
        <v>1</v>
      </c>
      <c r="F793" s="5" t="s">
        <v>2355</v>
      </c>
    </row>
    <row r="794" spans="1:6">
      <c r="A794" s="5" t="s">
        <v>1361</v>
      </c>
      <c r="B794" s="5" t="s">
        <v>1362</v>
      </c>
      <c r="C794" s="5" t="s">
        <v>32</v>
      </c>
      <c r="D794" s="5" t="s">
        <v>1748</v>
      </c>
      <c r="E794" s="5">
        <v>1</v>
      </c>
      <c r="F794" s="5" t="s">
        <v>2356</v>
      </c>
    </row>
    <row r="795" spans="1:6">
      <c r="A795" s="5" t="s">
        <v>1361</v>
      </c>
      <c r="B795" s="5" t="s">
        <v>1362</v>
      </c>
      <c r="C795" s="5" t="s">
        <v>32</v>
      </c>
      <c r="D795" s="5" t="s">
        <v>1748</v>
      </c>
      <c r="E795" s="5">
        <v>2</v>
      </c>
      <c r="F795" s="5" t="s">
        <v>1508</v>
      </c>
    </row>
    <row r="796" spans="1:6">
      <c r="A796" s="5" t="s">
        <v>1361</v>
      </c>
      <c r="B796" s="5" t="s">
        <v>1362</v>
      </c>
      <c r="C796" s="5" t="s">
        <v>32</v>
      </c>
      <c r="D796" s="5" t="s">
        <v>1748</v>
      </c>
      <c r="E796" s="5">
        <v>3</v>
      </c>
      <c r="F796" s="5" t="s">
        <v>2357</v>
      </c>
    </row>
    <row r="797" spans="1:6">
      <c r="A797" s="5" t="s">
        <v>1375</v>
      </c>
      <c r="B797" s="5" t="s">
        <v>1376</v>
      </c>
      <c r="C797" s="5" t="s">
        <v>16</v>
      </c>
      <c r="D797" s="5" t="s">
        <v>1735</v>
      </c>
      <c r="E797" s="5">
        <v>1</v>
      </c>
      <c r="F797" s="5" t="s">
        <v>1751</v>
      </c>
    </row>
    <row r="798" spans="1:6">
      <c r="A798" s="5" t="s">
        <v>1375</v>
      </c>
      <c r="B798" s="5" t="s">
        <v>1376</v>
      </c>
      <c r="C798" s="5" t="s">
        <v>16</v>
      </c>
      <c r="D798" s="5" t="s">
        <v>1735</v>
      </c>
      <c r="E798" s="5">
        <v>2</v>
      </c>
      <c r="F798" s="5" t="s">
        <v>2223</v>
      </c>
    </row>
    <row r="799" spans="1:6">
      <c r="A799" s="5" t="s">
        <v>1375</v>
      </c>
      <c r="B799" s="5" t="s">
        <v>1376</v>
      </c>
      <c r="C799" s="5" t="s">
        <v>16</v>
      </c>
      <c r="D799" s="5" t="s">
        <v>1735</v>
      </c>
      <c r="E799" s="5">
        <v>3</v>
      </c>
      <c r="F799" s="5" t="s">
        <v>1991</v>
      </c>
    </row>
    <row r="800" spans="1:6">
      <c r="A800" s="5" t="s">
        <v>1375</v>
      </c>
      <c r="B800" s="5" t="s">
        <v>1376</v>
      </c>
      <c r="C800" s="5" t="s">
        <v>16</v>
      </c>
      <c r="D800" s="5" t="s">
        <v>1739</v>
      </c>
      <c r="E800" s="5">
        <v>1</v>
      </c>
      <c r="F800" s="5" t="s">
        <v>2358</v>
      </c>
    </row>
    <row r="801" spans="1:6">
      <c r="A801" s="5" t="s">
        <v>1375</v>
      </c>
      <c r="B801" s="5" t="s">
        <v>1376</v>
      </c>
      <c r="C801" s="5" t="s">
        <v>16</v>
      </c>
      <c r="D801" s="5" t="s">
        <v>1743</v>
      </c>
      <c r="E801" s="5">
        <v>1</v>
      </c>
      <c r="F801" s="5" t="s">
        <v>2359</v>
      </c>
    </row>
    <row r="802" spans="1:6">
      <c r="A802" s="5" t="s">
        <v>1375</v>
      </c>
      <c r="B802" s="5" t="s">
        <v>1376</v>
      </c>
      <c r="C802" s="5" t="s">
        <v>16</v>
      </c>
      <c r="D802" s="5" t="s">
        <v>1748</v>
      </c>
      <c r="E802" s="5">
        <v>1</v>
      </c>
      <c r="F802" s="5" t="s">
        <v>2360</v>
      </c>
    </row>
    <row r="803" spans="1:6">
      <c r="A803" s="5" t="s">
        <v>1390</v>
      </c>
      <c r="B803" s="5" t="s">
        <v>1391</v>
      </c>
      <c r="C803" s="5" t="s">
        <v>16</v>
      </c>
      <c r="D803" s="5" t="s">
        <v>1735</v>
      </c>
      <c r="E803" s="5">
        <v>1</v>
      </c>
      <c r="F803" s="5" t="s">
        <v>2361</v>
      </c>
    </row>
    <row r="804" spans="1:6">
      <c r="A804" s="5" t="s">
        <v>1390</v>
      </c>
      <c r="B804" s="5" t="s">
        <v>1391</v>
      </c>
      <c r="C804" s="5" t="s">
        <v>16</v>
      </c>
      <c r="D804" s="5" t="s">
        <v>1735</v>
      </c>
      <c r="E804" s="5">
        <v>2</v>
      </c>
      <c r="F804" s="5" t="s">
        <v>2362</v>
      </c>
    </row>
    <row r="805" spans="1:6">
      <c r="A805" s="5" t="s">
        <v>1390</v>
      </c>
      <c r="B805" s="5" t="s">
        <v>1391</v>
      </c>
      <c r="C805" s="5" t="s">
        <v>16</v>
      </c>
      <c r="D805" s="5" t="s">
        <v>1735</v>
      </c>
      <c r="E805" s="5">
        <v>3</v>
      </c>
      <c r="F805" s="5" t="s">
        <v>1771</v>
      </c>
    </row>
    <row r="806" spans="1:6">
      <c r="A806" s="5" t="s">
        <v>1390</v>
      </c>
      <c r="B806" s="5" t="s">
        <v>1391</v>
      </c>
      <c r="C806" s="5" t="s">
        <v>16</v>
      </c>
      <c r="D806" s="5" t="s">
        <v>1735</v>
      </c>
      <c r="E806" s="5">
        <v>4</v>
      </c>
      <c r="F806" s="5" t="s">
        <v>1770</v>
      </c>
    </row>
    <row r="807" spans="1:6">
      <c r="A807" s="5" t="s">
        <v>1390</v>
      </c>
      <c r="B807" s="5" t="s">
        <v>1391</v>
      </c>
      <c r="C807" s="5" t="s">
        <v>16</v>
      </c>
      <c r="D807" s="5" t="s">
        <v>1735</v>
      </c>
      <c r="E807" s="5">
        <v>5</v>
      </c>
      <c r="F807" s="5" t="s">
        <v>2188</v>
      </c>
    </row>
    <row r="808" spans="1:6">
      <c r="A808" s="5" t="s">
        <v>1390</v>
      </c>
      <c r="B808" s="5" t="s">
        <v>1391</v>
      </c>
      <c r="C808" s="5" t="s">
        <v>16</v>
      </c>
      <c r="D808" s="5" t="s">
        <v>1739</v>
      </c>
      <c r="E808" s="5">
        <v>1</v>
      </c>
      <c r="F808" s="5" t="s">
        <v>2363</v>
      </c>
    </row>
    <row r="809" spans="1:6">
      <c r="A809" s="5" t="s">
        <v>1390</v>
      </c>
      <c r="B809" s="5" t="s">
        <v>1391</v>
      </c>
      <c r="C809" s="5" t="s">
        <v>16</v>
      </c>
      <c r="D809" s="5" t="s">
        <v>1739</v>
      </c>
      <c r="E809" s="5">
        <v>2</v>
      </c>
      <c r="F809" s="5" t="s">
        <v>2190</v>
      </c>
    </row>
    <row r="810" spans="1:6">
      <c r="A810" s="5" t="s">
        <v>1390</v>
      </c>
      <c r="B810" s="5" t="s">
        <v>1391</v>
      </c>
      <c r="C810" s="5" t="s">
        <v>16</v>
      </c>
      <c r="D810" s="5" t="s">
        <v>1739</v>
      </c>
      <c r="E810" s="5">
        <v>3</v>
      </c>
      <c r="F810" s="5" t="s">
        <v>2071</v>
      </c>
    </row>
    <row r="811" spans="1:6">
      <c r="A811" s="5" t="s">
        <v>1390</v>
      </c>
      <c r="B811" s="5" t="s">
        <v>1391</v>
      </c>
      <c r="C811" s="5" t="s">
        <v>16</v>
      </c>
      <c r="D811" s="5" t="s">
        <v>1739</v>
      </c>
      <c r="E811" s="5">
        <v>4</v>
      </c>
      <c r="F811" s="5" t="s">
        <v>1600</v>
      </c>
    </row>
    <row r="812" spans="1:6">
      <c r="A812" s="5" t="s">
        <v>1390</v>
      </c>
      <c r="B812" s="5" t="s">
        <v>1391</v>
      </c>
      <c r="C812" s="5" t="s">
        <v>16</v>
      </c>
      <c r="D812" s="5" t="s">
        <v>1739</v>
      </c>
      <c r="E812" s="5">
        <v>5</v>
      </c>
      <c r="F812" s="5" t="s">
        <v>2229</v>
      </c>
    </row>
    <row r="813" spans="1:6">
      <c r="A813" s="5" t="s">
        <v>1390</v>
      </c>
      <c r="B813" s="5" t="s">
        <v>1391</v>
      </c>
      <c r="C813" s="5" t="s">
        <v>16</v>
      </c>
      <c r="D813" s="5" t="s">
        <v>1739</v>
      </c>
      <c r="E813" s="5">
        <v>6</v>
      </c>
      <c r="F813" s="5" t="s">
        <v>1595</v>
      </c>
    </row>
    <row r="814" spans="1:6">
      <c r="A814" s="5" t="s">
        <v>1390</v>
      </c>
      <c r="B814" s="5" t="s">
        <v>1391</v>
      </c>
      <c r="C814" s="5" t="s">
        <v>16</v>
      </c>
      <c r="D814" s="5" t="s">
        <v>1739</v>
      </c>
      <c r="E814" s="5">
        <v>7</v>
      </c>
      <c r="F814" s="5" t="s">
        <v>2230</v>
      </c>
    </row>
    <row r="815" spans="1:6">
      <c r="A815" s="5" t="s">
        <v>1390</v>
      </c>
      <c r="B815" s="5" t="s">
        <v>1391</v>
      </c>
      <c r="C815" s="5" t="s">
        <v>16</v>
      </c>
      <c r="D815" s="5" t="s">
        <v>1739</v>
      </c>
      <c r="E815" s="5">
        <v>8</v>
      </c>
      <c r="F815" s="5" t="s">
        <v>2364</v>
      </c>
    </row>
    <row r="816" spans="1:6">
      <c r="A816" s="5" t="s">
        <v>1390</v>
      </c>
      <c r="B816" s="5" t="s">
        <v>1391</v>
      </c>
      <c r="C816" s="5" t="s">
        <v>16</v>
      </c>
      <c r="D816" s="5" t="s">
        <v>1743</v>
      </c>
      <c r="E816" s="5">
        <v>1</v>
      </c>
      <c r="F816" s="5" t="s">
        <v>2365</v>
      </c>
    </row>
    <row r="817" spans="1:6">
      <c r="A817" s="5" t="s">
        <v>1390</v>
      </c>
      <c r="B817" s="5" t="s">
        <v>1391</v>
      </c>
      <c r="C817" s="5" t="s">
        <v>16</v>
      </c>
      <c r="D817" s="5" t="s">
        <v>1748</v>
      </c>
      <c r="E817" s="5">
        <v>1</v>
      </c>
      <c r="F817" s="5" t="s">
        <v>2366</v>
      </c>
    </row>
    <row r="818" spans="1:6">
      <c r="A818" s="5" t="s">
        <v>1404</v>
      </c>
      <c r="B818" s="5" t="s">
        <v>1405</v>
      </c>
      <c r="C818" s="5" t="s">
        <v>16</v>
      </c>
      <c r="D818" s="5" t="s">
        <v>1735</v>
      </c>
      <c r="E818" s="5">
        <v>1</v>
      </c>
      <c r="F818" s="5" t="s">
        <v>2367</v>
      </c>
    </row>
    <row r="819" spans="1:6">
      <c r="A819" s="5" t="s">
        <v>1404</v>
      </c>
      <c r="B819" s="5" t="s">
        <v>1405</v>
      </c>
      <c r="C819" s="5" t="s">
        <v>16</v>
      </c>
      <c r="D819" s="5" t="s">
        <v>1735</v>
      </c>
      <c r="E819" s="5">
        <v>2</v>
      </c>
      <c r="F819" s="5" t="s">
        <v>2368</v>
      </c>
    </row>
    <row r="820" spans="1:6">
      <c r="A820" s="5" t="s">
        <v>1404</v>
      </c>
      <c r="B820" s="5" t="s">
        <v>1405</v>
      </c>
      <c r="C820" s="5" t="s">
        <v>16</v>
      </c>
      <c r="D820" s="5" t="s">
        <v>1735</v>
      </c>
      <c r="E820" s="5">
        <v>3</v>
      </c>
      <c r="F820" s="5" t="s">
        <v>2369</v>
      </c>
    </row>
    <row r="821" spans="1:6">
      <c r="A821" s="5" t="s">
        <v>1404</v>
      </c>
      <c r="B821" s="5" t="s">
        <v>1405</v>
      </c>
      <c r="C821" s="5" t="s">
        <v>16</v>
      </c>
      <c r="D821" s="5" t="s">
        <v>1735</v>
      </c>
      <c r="E821" s="5">
        <v>4</v>
      </c>
      <c r="F821" s="5" t="s">
        <v>1771</v>
      </c>
    </row>
    <row r="822" spans="1:6">
      <c r="A822" s="5" t="s">
        <v>1404</v>
      </c>
      <c r="B822" s="5" t="s">
        <v>1405</v>
      </c>
      <c r="C822" s="5" t="s">
        <v>16</v>
      </c>
      <c r="D822" s="5" t="s">
        <v>1739</v>
      </c>
      <c r="E822" s="5">
        <v>1</v>
      </c>
      <c r="F822" s="5" t="s">
        <v>2370</v>
      </c>
    </row>
    <row r="823" spans="1:6">
      <c r="A823" s="5" t="s">
        <v>1404</v>
      </c>
      <c r="B823" s="5" t="s">
        <v>1405</v>
      </c>
      <c r="C823" s="5" t="s">
        <v>16</v>
      </c>
      <c r="D823" s="5" t="s">
        <v>1739</v>
      </c>
      <c r="E823" s="5">
        <v>2</v>
      </c>
      <c r="F823" s="5" t="s">
        <v>2371</v>
      </c>
    </row>
    <row r="824" spans="1:6">
      <c r="A824" s="5" t="s">
        <v>1404</v>
      </c>
      <c r="B824" s="5" t="s">
        <v>1405</v>
      </c>
      <c r="C824" s="5" t="s">
        <v>16</v>
      </c>
      <c r="D824" s="5" t="s">
        <v>1739</v>
      </c>
      <c r="E824" s="5">
        <v>3</v>
      </c>
      <c r="F824" s="5" t="s">
        <v>2372</v>
      </c>
    </row>
    <row r="825" spans="1:6">
      <c r="A825" s="5" t="s">
        <v>1404</v>
      </c>
      <c r="B825" s="5" t="s">
        <v>1405</v>
      </c>
      <c r="C825" s="5" t="s">
        <v>16</v>
      </c>
      <c r="D825" s="5" t="s">
        <v>1739</v>
      </c>
      <c r="E825" s="5">
        <v>4</v>
      </c>
      <c r="F825" s="5" t="s">
        <v>2373</v>
      </c>
    </row>
    <row r="826" spans="1:6">
      <c r="A826" s="5" t="s">
        <v>1404</v>
      </c>
      <c r="B826" s="5" t="s">
        <v>1405</v>
      </c>
      <c r="C826" s="5" t="s">
        <v>16</v>
      </c>
      <c r="D826" s="5" t="s">
        <v>1743</v>
      </c>
      <c r="E826" s="5">
        <v>1</v>
      </c>
      <c r="F826" s="5" t="s">
        <v>2374</v>
      </c>
    </row>
    <row r="827" spans="1:6">
      <c r="A827" s="5" t="s">
        <v>1404</v>
      </c>
      <c r="B827" s="5" t="s">
        <v>1405</v>
      </c>
      <c r="C827" s="5" t="s">
        <v>16</v>
      </c>
      <c r="D827" s="5" t="s">
        <v>1748</v>
      </c>
      <c r="E827" s="5">
        <v>1</v>
      </c>
      <c r="F827" s="5" t="s">
        <v>2375</v>
      </c>
    </row>
    <row r="828" spans="1:6">
      <c r="A828" s="5" t="s">
        <v>1404</v>
      </c>
      <c r="B828" s="5" t="s">
        <v>1405</v>
      </c>
      <c r="C828" s="5" t="s">
        <v>16</v>
      </c>
      <c r="D828" s="5" t="s">
        <v>1748</v>
      </c>
      <c r="E828" s="5">
        <v>2</v>
      </c>
      <c r="F828" s="5" t="s">
        <v>2376</v>
      </c>
    </row>
    <row r="829" spans="1:6">
      <c r="A829" s="5" t="s">
        <v>1418</v>
      </c>
      <c r="B829" s="5" t="s">
        <v>1419</v>
      </c>
      <c r="C829" s="5" t="s">
        <v>16</v>
      </c>
      <c r="D829" s="5" t="s">
        <v>1735</v>
      </c>
      <c r="E829" s="5">
        <v>1</v>
      </c>
      <c r="F829" s="5" t="s">
        <v>2377</v>
      </c>
    </row>
    <row r="830" spans="1:6">
      <c r="A830" s="5" t="s">
        <v>1418</v>
      </c>
      <c r="B830" s="5" t="s">
        <v>1419</v>
      </c>
      <c r="C830" s="5" t="s">
        <v>16</v>
      </c>
      <c r="D830" s="5" t="s">
        <v>1735</v>
      </c>
      <c r="E830" s="5">
        <v>2</v>
      </c>
      <c r="F830" s="5" t="s">
        <v>1872</v>
      </c>
    </row>
    <row r="831" spans="1:6">
      <c r="A831" s="5" t="s">
        <v>1418</v>
      </c>
      <c r="B831" s="5" t="s">
        <v>1419</v>
      </c>
      <c r="C831" s="5" t="s">
        <v>16</v>
      </c>
      <c r="D831" s="5" t="s">
        <v>1735</v>
      </c>
      <c r="E831" s="5">
        <v>3</v>
      </c>
      <c r="F831" s="5" t="s">
        <v>2378</v>
      </c>
    </row>
    <row r="832" spans="1:6">
      <c r="A832" s="5" t="s">
        <v>1418</v>
      </c>
      <c r="B832" s="5" t="s">
        <v>1419</v>
      </c>
      <c r="C832" s="5" t="s">
        <v>16</v>
      </c>
      <c r="D832" s="5" t="s">
        <v>1735</v>
      </c>
      <c r="E832" s="5">
        <v>4</v>
      </c>
      <c r="F832" s="5" t="s">
        <v>2379</v>
      </c>
    </row>
    <row r="833" spans="1:6">
      <c r="A833" s="5" t="s">
        <v>1418</v>
      </c>
      <c r="B833" s="5" t="s">
        <v>1419</v>
      </c>
      <c r="C833" s="5" t="s">
        <v>16</v>
      </c>
      <c r="D833" s="5" t="s">
        <v>1739</v>
      </c>
      <c r="E833" s="5">
        <v>1</v>
      </c>
      <c r="F833" s="5" t="s">
        <v>2380</v>
      </c>
    </row>
    <row r="834" spans="1:6">
      <c r="A834" s="5" t="s">
        <v>1418</v>
      </c>
      <c r="B834" s="5" t="s">
        <v>1419</v>
      </c>
      <c r="C834" s="5" t="s">
        <v>16</v>
      </c>
      <c r="D834" s="5" t="s">
        <v>1739</v>
      </c>
      <c r="E834" s="5">
        <v>2</v>
      </c>
      <c r="F834" s="5" t="s">
        <v>2381</v>
      </c>
    </row>
    <row r="835" spans="1:6">
      <c r="A835" s="5" t="s">
        <v>1418</v>
      </c>
      <c r="B835" s="5" t="s">
        <v>1419</v>
      </c>
      <c r="C835" s="5" t="s">
        <v>16</v>
      </c>
      <c r="D835" s="5" t="s">
        <v>1739</v>
      </c>
      <c r="E835" s="5">
        <v>3</v>
      </c>
      <c r="F835" s="5" t="s">
        <v>1777</v>
      </c>
    </row>
    <row r="836" spans="1:6">
      <c r="A836" s="5" t="s">
        <v>1418</v>
      </c>
      <c r="B836" s="5" t="s">
        <v>1419</v>
      </c>
      <c r="C836" s="5" t="s">
        <v>16</v>
      </c>
      <c r="D836" s="5" t="s">
        <v>1739</v>
      </c>
      <c r="E836" s="5">
        <v>4</v>
      </c>
      <c r="F836" s="5" t="s">
        <v>1898</v>
      </c>
    </row>
    <row r="837" spans="1:6">
      <c r="A837" s="5" t="s">
        <v>1418</v>
      </c>
      <c r="B837" s="5" t="s">
        <v>1419</v>
      </c>
      <c r="C837" s="5" t="s">
        <v>16</v>
      </c>
      <c r="D837" s="5" t="s">
        <v>1743</v>
      </c>
      <c r="E837" s="5">
        <v>1</v>
      </c>
      <c r="F837" s="5" t="s">
        <v>2382</v>
      </c>
    </row>
    <row r="838" spans="1:6">
      <c r="A838" s="5" t="s">
        <v>1418</v>
      </c>
      <c r="B838" s="5" t="s">
        <v>1419</v>
      </c>
      <c r="C838" s="5" t="s">
        <v>16</v>
      </c>
      <c r="D838" s="5" t="s">
        <v>1743</v>
      </c>
      <c r="E838" s="5">
        <v>2</v>
      </c>
      <c r="F838" s="5" t="s">
        <v>2383</v>
      </c>
    </row>
    <row r="839" spans="1:6">
      <c r="A839" s="5" t="s">
        <v>1418</v>
      </c>
      <c r="B839" s="5" t="s">
        <v>1419</v>
      </c>
      <c r="C839" s="5" t="s">
        <v>16</v>
      </c>
      <c r="D839" s="5" t="s">
        <v>1748</v>
      </c>
      <c r="E839" s="5">
        <v>1</v>
      </c>
      <c r="F839" s="5" t="s">
        <v>2384</v>
      </c>
    </row>
    <row r="840" spans="1:6">
      <c r="A840" s="5" t="s">
        <v>1418</v>
      </c>
      <c r="B840" s="5" t="s">
        <v>1419</v>
      </c>
      <c r="C840" s="5" t="s">
        <v>16</v>
      </c>
      <c r="D840" s="5" t="s">
        <v>1748</v>
      </c>
      <c r="E840" s="5">
        <v>2</v>
      </c>
      <c r="F840" s="5" t="s">
        <v>2385</v>
      </c>
    </row>
    <row r="841" spans="1:6">
      <c r="A841" s="5" t="s">
        <v>1432</v>
      </c>
      <c r="B841" s="5" t="s">
        <v>1183</v>
      </c>
      <c r="C841" s="5" t="s">
        <v>16</v>
      </c>
      <c r="D841" s="5" t="s">
        <v>1735</v>
      </c>
      <c r="E841" s="5">
        <v>1</v>
      </c>
      <c r="F841" s="5" t="s">
        <v>2386</v>
      </c>
    </row>
    <row r="842" spans="1:6">
      <c r="A842" s="5" t="s">
        <v>1432</v>
      </c>
      <c r="B842" s="5" t="s">
        <v>1183</v>
      </c>
      <c r="C842" s="5" t="s">
        <v>16</v>
      </c>
      <c r="D842" s="5" t="s">
        <v>1735</v>
      </c>
      <c r="E842" s="5">
        <v>2</v>
      </c>
      <c r="F842" s="5" t="s">
        <v>1771</v>
      </c>
    </row>
    <row r="843" spans="1:6">
      <c r="A843" s="5" t="s">
        <v>1432</v>
      </c>
      <c r="B843" s="5" t="s">
        <v>1183</v>
      </c>
      <c r="C843" s="5" t="s">
        <v>16</v>
      </c>
      <c r="D843" s="5" t="s">
        <v>1735</v>
      </c>
      <c r="E843" s="5">
        <v>3</v>
      </c>
      <c r="F843" s="5" t="s">
        <v>1920</v>
      </c>
    </row>
    <row r="844" spans="1:6">
      <c r="A844" s="5" t="s">
        <v>1432</v>
      </c>
      <c r="B844" s="5" t="s">
        <v>1183</v>
      </c>
      <c r="C844" s="5" t="s">
        <v>16</v>
      </c>
      <c r="D844" s="5" t="s">
        <v>1735</v>
      </c>
      <c r="E844" s="5">
        <v>4</v>
      </c>
      <c r="F844" s="5" t="s">
        <v>2387</v>
      </c>
    </row>
    <row r="845" spans="1:6">
      <c r="A845" s="5" t="s">
        <v>1432</v>
      </c>
      <c r="B845" s="5" t="s">
        <v>1183</v>
      </c>
      <c r="C845" s="5" t="s">
        <v>16</v>
      </c>
      <c r="D845" s="5" t="s">
        <v>1739</v>
      </c>
      <c r="E845" s="5">
        <v>1</v>
      </c>
      <c r="F845" s="5" t="s">
        <v>2388</v>
      </c>
    </row>
    <row r="846" spans="1:6">
      <c r="A846" s="5" t="s">
        <v>1432</v>
      </c>
      <c r="B846" s="5" t="s">
        <v>1183</v>
      </c>
      <c r="C846" s="5" t="s">
        <v>16</v>
      </c>
      <c r="D846" s="5" t="s">
        <v>1739</v>
      </c>
      <c r="E846" s="5">
        <v>2</v>
      </c>
      <c r="F846" s="5" t="s">
        <v>2389</v>
      </c>
    </row>
    <row r="847" spans="1:6">
      <c r="A847" s="5" t="s">
        <v>1432</v>
      </c>
      <c r="B847" s="5" t="s">
        <v>1183</v>
      </c>
      <c r="C847" s="5" t="s">
        <v>16</v>
      </c>
      <c r="D847" s="5" t="s">
        <v>1739</v>
      </c>
      <c r="E847" s="5">
        <v>3</v>
      </c>
      <c r="F847" s="5" t="s">
        <v>2390</v>
      </c>
    </row>
    <row r="848" spans="1:6">
      <c r="A848" s="5" t="s">
        <v>1432</v>
      </c>
      <c r="B848" s="5" t="s">
        <v>1183</v>
      </c>
      <c r="C848" s="5" t="s">
        <v>16</v>
      </c>
      <c r="D848" s="5" t="s">
        <v>1739</v>
      </c>
      <c r="E848" s="5">
        <v>4</v>
      </c>
      <c r="F848" s="5" t="s">
        <v>2391</v>
      </c>
    </row>
    <row r="849" spans="1:6">
      <c r="A849" s="5" t="s">
        <v>1432</v>
      </c>
      <c r="B849" s="5" t="s">
        <v>1183</v>
      </c>
      <c r="C849" s="5" t="s">
        <v>16</v>
      </c>
      <c r="D849" s="5" t="s">
        <v>1743</v>
      </c>
      <c r="E849" s="5">
        <v>1</v>
      </c>
      <c r="F849" s="5" t="s">
        <v>2392</v>
      </c>
    </row>
    <row r="850" spans="1:6">
      <c r="A850" s="5" t="s">
        <v>1432</v>
      </c>
      <c r="B850" s="5" t="s">
        <v>1183</v>
      </c>
      <c r="C850" s="5" t="s">
        <v>16</v>
      </c>
      <c r="D850" s="5" t="s">
        <v>1743</v>
      </c>
      <c r="E850" s="5">
        <v>2</v>
      </c>
      <c r="F850" s="5" t="s">
        <v>2263</v>
      </c>
    </row>
    <row r="851" spans="1:6">
      <c r="A851" s="5" t="s">
        <v>1432</v>
      </c>
      <c r="B851" s="5" t="s">
        <v>1183</v>
      </c>
      <c r="C851" s="5" t="s">
        <v>16</v>
      </c>
      <c r="D851" s="5" t="s">
        <v>1748</v>
      </c>
      <c r="E851" s="5">
        <v>1</v>
      </c>
      <c r="F851" s="5" t="s">
        <v>2393</v>
      </c>
    </row>
    <row r="852" spans="1:6">
      <c r="A852" s="5" t="s">
        <v>1432</v>
      </c>
      <c r="B852" s="5" t="s">
        <v>1183</v>
      </c>
      <c r="C852" s="5" t="s">
        <v>16</v>
      </c>
      <c r="D852" s="5" t="s">
        <v>1748</v>
      </c>
      <c r="E852" s="5">
        <v>2</v>
      </c>
      <c r="F852" s="5" t="s">
        <v>2394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C1" workbookViewId="0">
      <selection activeCell="D8" sqref="D8"/>
    </sheetView>
  </sheetViews>
  <sheetFormatPr baseColWidth="10" defaultColWidth="8.796875" defaultRowHeight="13.8"/>
  <cols>
    <col min="1" max="1" width="24" customWidth="1"/>
    <col min="2" max="2" width="34" customWidth="1"/>
    <col min="3" max="3" width="88" customWidth="1"/>
    <col min="4" max="4" width="55" customWidth="1"/>
  </cols>
  <sheetData>
    <row r="1" spans="1:4" ht="22.35" customHeight="1">
      <c r="A1" s="8" t="s">
        <v>2395</v>
      </c>
      <c r="B1" s="8"/>
      <c r="C1" s="8"/>
      <c r="D1" s="8"/>
    </row>
    <row r="2" spans="1:4" ht="27.15" customHeight="1">
      <c r="A2" s="9" t="s">
        <v>2396</v>
      </c>
      <c r="B2" s="9"/>
      <c r="C2" s="9"/>
      <c r="D2" s="9"/>
    </row>
    <row r="4" spans="1:4" ht="22.35" customHeight="1">
      <c r="A4" s="4" t="s">
        <v>66</v>
      </c>
      <c r="B4" s="4" t="s">
        <v>2397</v>
      </c>
      <c r="C4" s="4" t="s">
        <v>2398</v>
      </c>
      <c r="D4" s="4" t="s">
        <v>2399</v>
      </c>
    </row>
    <row r="5" spans="1:4" ht="27.6">
      <c r="A5" s="5" t="s">
        <v>11</v>
      </c>
      <c r="B5" s="5" t="s">
        <v>2400</v>
      </c>
      <c r="C5" s="5" t="s">
        <v>2401</v>
      </c>
      <c r="D5" s="5" t="s">
        <v>2402</v>
      </c>
    </row>
    <row r="6" spans="1:4" ht="27.6">
      <c r="A6" s="5" t="s">
        <v>13</v>
      </c>
      <c r="B6" s="5" t="s">
        <v>937</v>
      </c>
      <c r="C6" s="5" t="s">
        <v>2403</v>
      </c>
      <c r="D6" s="5" t="s">
        <v>2404</v>
      </c>
    </row>
    <row r="7" spans="1:4" ht="27.6">
      <c r="A7" s="5" t="s">
        <v>15</v>
      </c>
      <c r="B7" s="5" t="s">
        <v>2405</v>
      </c>
      <c r="C7" s="5" t="s">
        <v>2406</v>
      </c>
      <c r="D7" s="5" t="s">
        <v>2407</v>
      </c>
    </row>
    <row r="8" spans="1:4" ht="27.6">
      <c r="A8" s="5" t="s">
        <v>16</v>
      </c>
      <c r="B8" s="5" t="s">
        <v>2408</v>
      </c>
      <c r="C8" s="5" t="s">
        <v>2409</v>
      </c>
      <c r="D8" s="5" t="s">
        <v>2410</v>
      </c>
    </row>
    <row r="9" spans="1:4" ht="27.6">
      <c r="A9" s="5" t="s">
        <v>17</v>
      </c>
      <c r="B9" s="5" t="s">
        <v>702</v>
      </c>
      <c r="C9" s="5" t="s">
        <v>2411</v>
      </c>
      <c r="D9" s="5" t="s">
        <v>2412</v>
      </c>
    </row>
    <row r="10" spans="1:4" ht="27.6">
      <c r="A10" s="5" t="s">
        <v>20</v>
      </c>
      <c r="B10" s="5" t="s">
        <v>785</v>
      </c>
      <c r="C10" s="5" t="s">
        <v>2413</v>
      </c>
      <c r="D10" s="5" t="s">
        <v>2414</v>
      </c>
    </row>
    <row r="11" spans="1:4">
      <c r="A11" s="5" t="s">
        <v>23</v>
      </c>
      <c r="B11" s="5" t="s">
        <v>2415</v>
      </c>
      <c r="C11" s="5" t="s">
        <v>2416</v>
      </c>
      <c r="D11" s="5" t="s">
        <v>2417</v>
      </c>
    </row>
    <row r="12" spans="1:4">
      <c r="A12" s="5" t="s">
        <v>26</v>
      </c>
      <c r="B12" s="5" t="s">
        <v>2418</v>
      </c>
      <c r="C12" s="5" t="s">
        <v>2419</v>
      </c>
      <c r="D12" s="5" t="s">
        <v>2420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D1" workbookViewId="0">
      <selection activeCell="F4" sqref="F4"/>
    </sheetView>
  </sheetViews>
  <sheetFormatPr baseColWidth="10" defaultColWidth="8.796875" defaultRowHeight="13.8"/>
  <cols>
    <col min="1" max="1" width="12" customWidth="1"/>
    <col min="2" max="2" width="38" customWidth="1"/>
    <col min="3" max="4" width="70" customWidth="1"/>
    <col min="5" max="5" width="34" customWidth="1"/>
    <col min="6" max="6" width="36" customWidth="1"/>
  </cols>
  <sheetData>
    <row r="1" spans="1:6" ht="22.35" customHeight="1">
      <c r="A1" s="8" t="s">
        <v>2421</v>
      </c>
      <c r="B1" s="8"/>
      <c r="C1" s="8"/>
      <c r="D1" s="8"/>
      <c r="E1" s="8"/>
      <c r="F1" s="8"/>
    </row>
    <row r="2" spans="1:6" ht="27.15" customHeight="1">
      <c r="A2" s="9" t="s">
        <v>2422</v>
      </c>
      <c r="B2" s="9"/>
      <c r="C2" s="9"/>
      <c r="D2" s="9"/>
      <c r="E2" s="9"/>
      <c r="F2" s="9"/>
    </row>
    <row r="4" spans="1:6" ht="22.35" customHeight="1">
      <c r="A4" s="4" t="s">
        <v>94</v>
      </c>
      <c r="B4" s="4" t="s">
        <v>2423</v>
      </c>
      <c r="C4" s="4" t="s">
        <v>2424</v>
      </c>
      <c r="D4" s="4" t="s">
        <v>220</v>
      </c>
      <c r="E4" s="4" t="s">
        <v>2425</v>
      </c>
      <c r="F4" s="4" t="s">
        <v>2426</v>
      </c>
    </row>
    <row r="5" spans="1:6">
      <c r="A5" s="5" t="s">
        <v>2427</v>
      </c>
      <c r="B5" s="5" t="s">
        <v>2428</v>
      </c>
      <c r="C5" s="5" t="s">
        <v>2429</v>
      </c>
      <c r="D5" s="5" t="s">
        <v>2430</v>
      </c>
      <c r="E5" s="5" t="s">
        <v>2431</v>
      </c>
      <c r="F5" s="5" t="s">
        <v>2432</v>
      </c>
    </row>
    <row r="6" spans="1:6">
      <c r="A6" s="5" t="s">
        <v>2433</v>
      </c>
      <c r="B6" s="5" t="s">
        <v>2434</v>
      </c>
      <c r="C6" s="5" t="s">
        <v>2435</v>
      </c>
      <c r="D6" s="5" t="s">
        <v>2436</v>
      </c>
      <c r="E6" s="5" t="s">
        <v>2437</v>
      </c>
      <c r="F6" s="5" t="s">
        <v>2438</v>
      </c>
    </row>
    <row r="7" spans="1:6">
      <c r="A7" s="5" t="s">
        <v>2439</v>
      </c>
      <c r="B7" s="5" t="s">
        <v>2440</v>
      </c>
      <c r="C7" s="5" t="s">
        <v>2441</v>
      </c>
      <c r="D7" s="5" t="s">
        <v>2442</v>
      </c>
      <c r="E7" s="5" t="s">
        <v>2443</v>
      </c>
      <c r="F7" s="5" t="s">
        <v>2432</v>
      </c>
    </row>
    <row r="8" spans="1:6">
      <c r="A8" s="5" t="s">
        <v>2444</v>
      </c>
      <c r="B8" s="5" t="s">
        <v>2070</v>
      </c>
      <c r="C8" s="5" t="s">
        <v>2445</v>
      </c>
      <c r="D8" s="5" t="s">
        <v>2446</v>
      </c>
      <c r="E8" s="5" t="s">
        <v>2447</v>
      </c>
      <c r="F8" s="5" t="s">
        <v>2448</v>
      </c>
    </row>
    <row r="9" spans="1:6">
      <c r="A9" s="5" t="s">
        <v>2449</v>
      </c>
      <c r="B9" s="5" t="s">
        <v>185</v>
      </c>
      <c r="C9" s="5" t="s">
        <v>2450</v>
      </c>
      <c r="D9" s="5" t="s">
        <v>2451</v>
      </c>
      <c r="E9" s="5" t="s">
        <v>2452</v>
      </c>
      <c r="F9" s="5" t="s">
        <v>2448</v>
      </c>
    </row>
    <row r="10" spans="1:6">
      <c r="A10" s="5" t="s">
        <v>2453</v>
      </c>
      <c r="B10" s="5" t="s">
        <v>2454</v>
      </c>
      <c r="C10" s="5" t="s">
        <v>2455</v>
      </c>
      <c r="D10" s="5" t="s">
        <v>2456</v>
      </c>
      <c r="E10" s="5" t="s">
        <v>2457</v>
      </c>
      <c r="F10" s="5" t="s">
        <v>2432</v>
      </c>
    </row>
    <row r="11" spans="1:6">
      <c r="A11" s="5" t="s">
        <v>2458</v>
      </c>
      <c r="B11" s="5" t="s">
        <v>2459</v>
      </c>
      <c r="C11" s="5" t="s">
        <v>2460</v>
      </c>
      <c r="D11" s="5" t="s">
        <v>2461</v>
      </c>
      <c r="E11" s="5" t="s">
        <v>2462</v>
      </c>
      <c r="F11" s="5" t="s">
        <v>2463</v>
      </c>
    </row>
    <row r="12" spans="1:6">
      <c r="A12" s="5" t="s">
        <v>2464</v>
      </c>
      <c r="B12" s="5" t="s">
        <v>2465</v>
      </c>
      <c r="C12" s="5" t="s">
        <v>2466</v>
      </c>
      <c r="D12" s="5" t="s">
        <v>2467</v>
      </c>
      <c r="E12" s="5" t="s">
        <v>2468</v>
      </c>
      <c r="F12" s="5" t="s">
        <v>2469</v>
      </c>
    </row>
    <row r="13" spans="1:6">
      <c r="A13" s="5" t="s">
        <v>2470</v>
      </c>
      <c r="B13" s="5" t="s">
        <v>2471</v>
      </c>
      <c r="C13" s="5" t="s">
        <v>2472</v>
      </c>
      <c r="D13" s="5" t="s">
        <v>2473</v>
      </c>
      <c r="E13" s="5" t="s">
        <v>2474</v>
      </c>
      <c r="F13" s="5" t="s">
        <v>2475</v>
      </c>
    </row>
    <row r="14" spans="1:6">
      <c r="A14" s="5" t="s">
        <v>2476</v>
      </c>
      <c r="B14" s="5" t="s">
        <v>2477</v>
      </c>
      <c r="C14" s="5" t="s">
        <v>2478</v>
      </c>
      <c r="D14" s="5" t="s">
        <v>2479</v>
      </c>
      <c r="E14" s="5" t="s">
        <v>2480</v>
      </c>
      <c r="F14" s="5" t="s">
        <v>2475</v>
      </c>
    </row>
    <row r="15" spans="1:6">
      <c r="A15" s="5" t="s">
        <v>2481</v>
      </c>
      <c r="B15" s="5" t="s">
        <v>2482</v>
      </c>
      <c r="C15" s="5" t="s">
        <v>2483</v>
      </c>
      <c r="D15" s="5" t="s">
        <v>2484</v>
      </c>
      <c r="E15" s="5" t="s">
        <v>2485</v>
      </c>
      <c r="F15" s="5" t="s">
        <v>2475</v>
      </c>
    </row>
    <row r="16" spans="1:6">
      <c r="A16" s="5" t="s">
        <v>2486</v>
      </c>
      <c r="B16" s="5" t="s">
        <v>2487</v>
      </c>
      <c r="C16" s="5" t="s">
        <v>2488</v>
      </c>
      <c r="D16" s="5" t="s">
        <v>2489</v>
      </c>
      <c r="E16" s="5" t="s">
        <v>2490</v>
      </c>
      <c r="F16" s="5" t="s">
        <v>16</v>
      </c>
    </row>
    <row r="17" spans="1:6">
      <c r="A17" s="5" t="s">
        <v>2491</v>
      </c>
      <c r="B17" s="5" t="s">
        <v>1896</v>
      </c>
      <c r="C17" s="5" t="s">
        <v>2492</v>
      </c>
      <c r="D17" s="5" t="s">
        <v>2493</v>
      </c>
      <c r="E17" s="5" t="s">
        <v>2494</v>
      </c>
      <c r="F17" s="5" t="s">
        <v>2475</v>
      </c>
    </row>
    <row r="18" spans="1:6">
      <c r="A18" s="5" t="s">
        <v>2495</v>
      </c>
      <c r="B18" s="5" t="s">
        <v>269</v>
      </c>
      <c r="C18" s="5" t="s">
        <v>2496</v>
      </c>
      <c r="D18" s="5" t="s">
        <v>2497</v>
      </c>
      <c r="E18" s="5" t="s">
        <v>2498</v>
      </c>
      <c r="F18" s="5" t="s">
        <v>2463</v>
      </c>
    </row>
    <row r="19" spans="1:6">
      <c r="A19" s="5" t="s">
        <v>2499</v>
      </c>
      <c r="B19" s="5" t="s">
        <v>2500</v>
      </c>
      <c r="C19" s="5" t="s">
        <v>2501</v>
      </c>
      <c r="D19" s="5" t="s">
        <v>2502</v>
      </c>
      <c r="E19" s="5" t="s">
        <v>2503</v>
      </c>
      <c r="F19" s="5" t="s">
        <v>13</v>
      </c>
    </row>
    <row r="20" spans="1:6">
      <c r="A20" s="5" t="s">
        <v>2504</v>
      </c>
      <c r="B20" s="5" t="s">
        <v>2505</v>
      </c>
      <c r="C20" s="5" t="s">
        <v>2506</v>
      </c>
      <c r="D20" s="5" t="s">
        <v>2507</v>
      </c>
      <c r="E20" s="5" t="s">
        <v>2508</v>
      </c>
      <c r="F20" s="5" t="s">
        <v>2509</v>
      </c>
    </row>
    <row r="21" spans="1:6">
      <c r="A21" s="5" t="s">
        <v>2510</v>
      </c>
      <c r="B21" s="5" t="s">
        <v>2511</v>
      </c>
      <c r="C21" s="5" t="s">
        <v>2512</v>
      </c>
      <c r="D21" s="5" t="s">
        <v>2513</v>
      </c>
      <c r="E21" s="5" t="s">
        <v>2514</v>
      </c>
      <c r="F21" s="5" t="s">
        <v>2515</v>
      </c>
    </row>
    <row r="22" spans="1:6">
      <c r="A22" s="5" t="s">
        <v>2516</v>
      </c>
      <c r="B22" s="5" t="s">
        <v>2517</v>
      </c>
      <c r="C22" s="5" t="s">
        <v>2518</v>
      </c>
      <c r="D22" s="5" t="s">
        <v>2519</v>
      </c>
      <c r="E22" s="5" t="s">
        <v>2520</v>
      </c>
      <c r="F22" s="5" t="s">
        <v>13</v>
      </c>
    </row>
    <row r="23" spans="1:6">
      <c r="A23" s="5" t="s">
        <v>2521</v>
      </c>
      <c r="B23" s="5" t="s">
        <v>2522</v>
      </c>
      <c r="C23" s="5" t="s">
        <v>2523</v>
      </c>
      <c r="D23" s="5" t="s">
        <v>2524</v>
      </c>
      <c r="E23" s="5" t="s">
        <v>2525</v>
      </c>
      <c r="F23" s="5" t="s">
        <v>16</v>
      </c>
    </row>
    <row r="24" spans="1:6">
      <c r="A24" s="5" t="s">
        <v>2526</v>
      </c>
      <c r="B24" s="5" t="s">
        <v>1320</v>
      </c>
      <c r="C24" s="5" t="s">
        <v>2527</v>
      </c>
      <c r="D24" s="5" t="s">
        <v>2528</v>
      </c>
      <c r="E24" s="5" t="s">
        <v>2529</v>
      </c>
      <c r="F24" s="5" t="s">
        <v>2530</v>
      </c>
    </row>
    <row r="25" spans="1:6">
      <c r="A25" s="5" t="s">
        <v>2531</v>
      </c>
      <c r="B25" s="5" t="s">
        <v>2532</v>
      </c>
      <c r="C25" s="5" t="s">
        <v>2533</v>
      </c>
      <c r="D25" s="5" t="s">
        <v>2534</v>
      </c>
      <c r="E25" s="5" t="s">
        <v>2535</v>
      </c>
      <c r="F25" s="5" t="s">
        <v>2536</v>
      </c>
    </row>
    <row r="26" spans="1:6">
      <c r="A26" s="5" t="s">
        <v>2537</v>
      </c>
      <c r="B26" s="5" t="s">
        <v>2538</v>
      </c>
      <c r="C26" s="5" t="s">
        <v>2539</v>
      </c>
      <c r="D26" s="5" t="s">
        <v>2540</v>
      </c>
      <c r="E26" s="5" t="s">
        <v>2541</v>
      </c>
      <c r="F26" s="5" t="s">
        <v>2542</v>
      </c>
    </row>
    <row r="27" spans="1:6">
      <c r="A27" s="5" t="s">
        <v>2543</v>
      </c>
      <c r="B27" s="5" t="s">
        <v>2544</v>
      </c>
      <c r="C27" s="5" t="s">
        <v>2545</v>
      </c>
      <c r="D27" s="5" t="s">
        <v>2546</v>
      </c>
      <c r="E27" s="5" t="s">
        <v>2547</v>
      </c>
      <c r="F27" s="5" t="s">
        <v>2542</v>
      </c>
    </row>
    <row r="28" spans="1:6">
      <c r="A28" s="5" t="s">
        <v>2548</v>
      </c>
      <c r="B28" s="5" t="s">
        <v>1183</v>
      </c>
      <c r="C28" s="5" t="s">
        <v>2549</v>
      </c>
      <c r="D28" s="5" t="s">
        <v>2550</v>
      </c>
      <c r="E28" s="5" t="s">
        <v>2551</v>
      </c>
      <c r="F28" s="5" t="s">
        <v>2552</v>
      </c>
    </row>
    <row r="29" spans="1:6">
      <c r="A29" s="5" t="s">
        <v>2553</v>
      </c>
      <c r="B29" s="5" t="s">
        <v>2554</v>
      </c>
      <c r="C29" s="5" t="s">
        <v>2555</v>
      </c>
      <c r="D29" s="5" t="s">
        <v>2556</v>
      </c>
      <c r="E29" s="5" t="s">
        <v>2557</v>
      </c>
      <c r="F29" s="5" t="s">
        <v>2552</v>
      </c>
    </row>
    <row r="30" spans="1:6">
      <c r="A30" s="5" t="s">
        <v>2558</v>
      </c>
      <c r="B30" s="5" t="s">
        <v>856</v>
      </c>
      <c r="C30" s="5" t="s">
        <v>2559</v>
      </c>
      <c r="D30" s="5" t="s">
        <v>2560</v>
      </c>
      <c r="E30" s="5" t="s">
        <v>2561</v>
      </c>
      <c r="F30" s="5" t="s">
        <v>26</v>
      </c>
    </row>
    <row r="31" spans="1:6">
      <c r="A31" s="5" t="s">
        <v>2562</v>
      </c>
      <c r="B31" s="5" t="s">
        <v>2279</v>
      </c>
      <c r="C31" s="5" t="s">
        <v>2563</v>
      </c>
      <c r="D31" s="5" t="s">
        <v>2564</v>
      </c>
      <c r="E31" s="5" t="s">
        <v>2565</v>
      </c>
      <c r="F31" s="5" t="s">
        <v>2432</v>
      </c>
    </row>
    <row r="32" spans="1:6">
      <c r="A32" s="5" t="s">
        <v>2566</v>
      </c>
      <c r="B32" s="5" t="s">
        <v>2567</v>
      </c>
      <c r="C32" s="5" t="s">
        <v>2568</v>
      </c>
      <c r="D32" s="5" t="s">
        <v>2569</v>
      </c>
      <c r="E32" s="5" t="s">
        <v>2570</v>
      </c>
      <c r="F32" s="5" t="s">
        <v>2571</v>
      </c>
    </row>
    <row r="33" spans="1:6">
      <c r="A33" s="5" t="s">
        <v>2572</v>
      </c>
      <c r="B33" s="5" t="s">
        <v>2573</v>
      </c>
      <c r="C33" s="5" t="s">
        <v>2574</v>
      </c>
      <c r="D33" s="5" t="s">
        <v>2575</v>
      </c>
      <c r="E33" s="5" t="s">
        <v>2576</v>
      </c>
      <c r="F33" s="5" t="s">
        <v>2577</v>
      </c>
    </row>
    <row r="34" spans="1:6">
      <c r="A34" s="5" t="s">
        <v>2578</v>
      </c>
      <c r="B34" s="5" t="s">
        <v>2579</v>
      </c>
      <c r="C34" s="5" t="s">
        <v>2580</v>
      </c>
      <c r="D34" s="5" t="s">
        <v>2581</v>
      </c>
      <c r="E34" s="5" t="s">
        <v>2582</v>
      </c>
      <c r="F34" s="5" t="s">
        <v>2583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A4" sqref="A4"/>
    </sheetView>
  </sheetViews>
  <sheetFormatPr baseColWidth="10" defaultColWidth="8.796875" defaultRowHeight="13.8"/>
  <cols>
    <col min="1" max="1" width="12" customWidth="1"/>
    <col min="2" max="2" width="38" customWidth="1"/>
    <col min="3" max="3" width="85" customWidth="1"/>
    <col min="4" max="4" width="65" customWidth="1"/>
  </cols>
  <sheetData>
    <row r="1" spans="1:4" ht="22.35" customHeight="1">
      <c r="A1" s="8" t="s">
        <v>2584</v>
      </c>
      <c r="B1" s="8"/>
      <c r="C1" s="8"/>
      <c r="D1" s="8"/>
    </row>
    <row r="2" spans="1:4" ht="27.15" customHeight="1">
      <c r="A2" s="9" t="s">
        <v>2585</v>
      </c>
      <c r="B2" s="9"/>
      <c r="C2" s="9"/>
      <c r="D2" s="9"/>
    </row>
    <row r="4" spans="1:4" ht="22.35" customHeight="1">
      <c r="A4" s="4" t="s">
        <v>94</v>
      </c>
      <c r="B4" s="4" t="s">
        <v>0</v>
      </c>
      <c r="C4" s="4" t="s">
        <v>2586</v>
      </c>
      <c r="D4" s="4" t="s">
        <v>2587</v>
      </c>
    </row>
    <row r="5" spans="1:4">
      <c r="A5" s="5" t="s">
        <v>2588</v>
      </c>
      <c r="B5" s="5" t="s">
        <v>2589</v>
      </c>
      <c r="C5" s="5" t="s">
        <v>2590</v>
      </c>
      <c r="D5" s="5" t="s">
        <v>2591</v>
      </c>
    </row>
    <row r="6" spans="1:4">
      <c r="A6" s="5" t="s">
        <v>2592</v>
      </c>
      <c r="B6" s="5" t="s">
        <v>2593</v>
      </c>
      <c r="C6" s="5" t="s">
        <v>2594</v>
      </c>
      <c r="D6" s="5" t="s">
        <v>2595</v>
      </c>
    </row>
    <row r="7" spans="1:4">
      <c r="A7" s="5" t="s">
        <v>2596</v>
      </c>
      <c r="B7" s="5" t="s">
        <v>2597</v>
      </c>
      <c r="C7" s="5" t="s">
        <v>2598</v>
      </c>
      <c r="D7" s="5" t="s">
        <v>2595</v>
      </c>
    </row>
    <row r="8" spans="1:4">
      <c r="A8" s="5" t="s">
        <v>2599</v>
      </c>
      <c r="B8" s="5" t="s">
        <v>2600</v>
      </c>
      <c r="C8" s="5" t="s">
        <v>2601</v>
      </c>
      <c r="D8" s="5" t="s">
        <v>2602</v>
      </c>
    </row>
    <row r="9" spans="1:4">
      <c r="A9" s="5" t="s">
        <v>2603</v>
      </c>
      <c r="B9" s="5" t="s">
        <v>2604</v>
      </c>
      <c r="C9" s="5" t="s">
        <v>2605</v>
      </c>
      <c r="D9" s="5" t="s">
        <v>2606</v>
      </c>
    </row>
    <row r="10" spans="1:4">
      <c r="A10" s="5" t="s">
        <v>2607</v>
      </c>
      <c r="B10" s="5" t="s">
        <v>2608</v>
      </c>
      <c r="C10" s="5" t="s">
        <v>2609</v>
      </c>
      <c r="D10" s="5" t="s">
        <v>2610</v>
      </c>
    </row>
    <row r="11" spans="1:4">
      <c r="A11" s="5" t="s">
        <v>2611</v>
      </c>
      <c r="B11" s="5" t="s">
        <v>2612</v>
      </c>
      <c r="C11" s="5" t="s">
        <v>2613</v>
      </c>
      <c r="D11" s="5" t="s">
        <v>2614</v>
      </c>
    </row>
    <row r="12" spans="1:4">
      <c r="A12" s="5" t="s">
        <v>2615</v>
      </c>
      <c r="B12" s="5" t="s">
        <v>2616</v>
      </c>
      <c r="C12" s="5" t="s">
        <v>2617</v>
      </c>
      <c r="D12" s="5" t="s">
        <v>2618</v>
      </c>
    </row>
    <row r="13" spans="1:4">
      <c r="A13" s="5" t="s">
        <v>2619</v>
      </c>
      <c r="B13" s="5" t="s">
        <v>2620</v>
      </c>
      <c r="C13" s="5" t="s">
        <v>2621</v>
      </c>
      <c r="D13" s="5" t="s">
        <v>2622</v>
      </c>
    </row>
    <row r="14" spans="1:4">
      <c r="A14" s="5" t="s">
        <v>2623</v>
      </c>
      <c r="B14" s="5" t="s">
        <v>2624</v>
      </c>
      <c r="C14" s="5" t="s">
        <v>2625</v>
      </c>
      <c r="D14" s="5" t="s">
        <v>2626</v>
      </c>
    </row>
    <row r="15" spans="1:4">
      <c r="A15" s="5" t="s">
        <v>2627</v>
      </c>
      <c r="B15" s="5" t="s">
        <v>2628</v>
      </c>
      <c r="C15" s="5" t="s">
        <v>2629</v>
      </c>
      <c r="D15" s="5" t="s">
        <v>2630</v>
      </c>
    </row>
    <row r="16" spans="1:4">
      <c r="A16" s="5" t="s">
        <v>2631</v>
      </c>
      <c r="B16" s="5" t="s">
        <v>2632</v>
      </c>
      <c r="C16" s="5" t="s">
        <v>2633</v>
      </c>
      <c r="D16" s="5" t="s">
        <v>2634</v>
      </c>
    </row>
    <row r="17" spans="1:4">
      <c r="A17" s="5" t="s">
        <v>2635</v>
      </c>
      <c r="B17" s="5" t="s">
        <v>2636</v>
      </c>
      <c r="C17" s="5" t="s">
        <v>2637</v>
      </c>
      <c r="D17" s="5" t="s">
        <v>2638</v>
      </c>
    </row>
    <row r="18" spans="1:4">
      <c r="A18" s="5" t="s">
        <v>2639</v>
      </c>
      <c r="B18" s="5" t="s">
        <v>2640</v>
      </c>
      <c r="C18" s="5" t="s">
        <v>2641</v>
      </c>
      <c r="D18" s="5" t="s">
        <v>2642</v>
      </c>
    </row>
    <row r="19" spans="1:4">
      <c r="A19" s="5" t="s">
        <v>2643</v>
      </c>
      <c r="B19" s="5" t="s">
        <v>2644</v>
      </c>
      <c r="C19" s="5" t="s">
        <v>2645</v>
      </c>
      <c r="D19" s="5" t="s">
        <v>2646</v>
      </c>
    </row>
    <row r="20" spans="1:4">
      <c r="A20" s="5" t="s">
        <v>2647</v>
      </c>
      <c r="B20" s="5" t="s">
        <v>2648</v>
      </c>
      <c r="C20" s="5" t="s">
        <v>2649</v>
      </c>
      <c r="D20" s="5" t="s">
        <v>2650</v>
      </c>
    </row>
    <row r="21" spans="1:4">
      <c r="A21" s="5" t="s">
        <v>2651</v>
      </c>
      <c r="B21" s="5" t="s">
        <v>2652</v>
      </c>
      <c r="C21" s="5" t="s">
        <v>2653</v>
      </c>
      <c r="D21" s="5" t="s">
        <v>2654</v>
      </c>
    </row>
    <row r="22" spans="1:4">
      <c r="A22" s="5" t="s">
        <v>2655</v>
      </c>
      <c r="B22" s="5" t="s">
        <v>2471</v>
      </c>
      <c r="C22" s="5" t="s">
        <v>2656</v>
      </c>
      <c r="D22" s="5" t="s">
        <v>2657</v>
      </c>
    </row>
    <row r="23" spans="1:4">
      <c r="A23" s="5" t="s">
        <v>2658</v>
      </c>
      <c r="B23" s="5" t="s">
        <v>2659</v>
      </c>
      <c r="C23" s="5" t="s">
        <v>2660</v>
      </c>
      <c r="D23" s="5" t="s">
        <v>2661</v>
      </c>
    </row>
    <row r="24" spans="1:4">
      <c r="A24" s="5" t="s">
        <v>2662</v>
      </c>
      <c r="B24" s="5" t="s">
        <v>2663</v>
      </c>
      <c r="C24" s="5" t="s">
        <v>2664</v>
      </c>
      <c r="D24" s="5" t="s">
        <v>2665</v>
      </c>
    </row>
    <row r="25" spans="1:4">
      <c r="A25" s="5" t="s">
        <v>2666</v>
      </c>
      <c r="B25" s="5" t="s">
        <v>2667</v>
      </c>
      <c r="C25" s="5" t="s">
        <v>2668</v>
      </c>
      <c r="D25" s="5" t="s">
        <v>2669</v>
      </c>
    </row>
    <row r="26" spans="1:4">
      <c r="A26" s="5" t="s">
        <v>2670</v>
      </c>
      <c r="B26" s="5" t="s">
        <v>2671</v>
      </c>
      <c r="C26" s="5" t="s">
        <v>2672</v>
      </c>
      <c r="D26" s="5" t="s">
        <v>2673</v>
      </c>
    </row>
    <row r="27" spans="1:4">
      <c r="A27" s="5" t="s">
        <v>2674</v>
      </c>
      <c r="B27" s="5" t="s">
        <v>2675</v>
      </c>
      <c r="C27" s="5" t="s">
        <v>2676</v>
      </c>
      <c r="D27" s="5" t="s">
        <v>2677</v>
      </c>
    </row>
    <row r="28" spans="1:4">
      <c r="A28" s="5" t="s">
        <v>2485</v>
      </c>
      <c r="B28" s="5" t="s">
        <v>2482</v>
      </c>
      <c r="C28" s="5" t="s">
        <v>2678</v>
      </c>
      <c r="D28" s="5" t="s">
        <v>2679</v>
      </c>
    </row>
    <row r="29" spans="1:4">
      <c r="A29" s="5" t="s">
        <v>2680</v>
      </c>
      <c r="B29" s="5" t="s">
        <v>2681</v>
      </c>
      <c r="C29" s="5" t="s">
        <v>2682</v>
      </c>
      <c r="D29" s="5" t="s">
        <v>2683</v>
      </c>
    </row>
    <row r="30" spans="1:4">
      <c r="A30" s="5" t="s">
        <v>2684</v>
      </c>
      <c r="B30" s="5" t="s">
        <v>2685</v>
      </c>
      <c r="C30" s="5" t="s">
        <v>2686</v>
      </c>
      <c r="D30" s="5" t="s">
        <v>2650</v>
      </c>
    </row>
    <row r="31" spans="1:4">
      <c r="A31" s="5" t="s">
        <v>2687</v>
      </c>
      <c r="B31" s="5" t="s">
        <v>2688</v>
      </c>
      <c r="C31" s="5" t="s">
        <v>2689</v>
      </c>
      <c r="D31" s="5" t="s">
        <v>2690</v>
      </c>
    </row>
    <row r="32" spans="1:4">
      <c r="A32" s="5" t="s">
        <v>2691</v>
      </c>
      <c r="B32" s="5" t="s">
        <v>2692</v>
      </c>
      <c r="C32" s="5" t="s">
        <v>2693</v>
      </c>
      <c r="D32" s="5" t="s">
        <v>2694</v>
      </c>
    </row>
    <row r="33" spans="1:4">
      <c r="A33" s="5" t="s">
        <v>2695</v>
      </c>
      <c r="B33" s="5" t="s">
        <v>2696</v>
      </c>
      <c r="C33" s="5" t="s">
        <v>2697</v>
      </c>
      <c r="D33" s="5" t="s">
        <v>2698</v>
      </c>
    </row>
    <row r="34" spans="1:4">
      <c r="A34" s="5" t="s">
        <v>2699</v>
      </c>
      <c r="B34" s="5" t="s">
        <v>2700</v>
      </c>
      <c r="C34" s="5" t="s">
        <v>2701</v>
      </c>
      <c r="D34" s="5" t="s">
        <v>2702</v>
      </c>
    </row>
    <row r="35" spans="1:4">
      <c r="A35" s="5" t="s">
        <v>2703</v>
      </c>
      <c r="B35" s="5" t="s">
        <v>2704</v>
      </c>
      <c r="C35" s="5" t="s">
        <v>2705</v>
      </c>
      <c r="D35" s="5" t="s">
        <v>2706</v>
      </c>
    </row>
    <row r="36" spans="1:4">
      <c r="A36" s="5" t="s">
        <v>2707</v>
      </c>
      <c r="B36" s="5" t="s">
        <v>2708</v>
      </c>
      <c r="C36" s="5" t="s">
        <v>2709</v>
      </c>
      <c r="D36" s="5" t="s">
        <v>2710</v>
      </c>
    </row>
    <row r="37" spans="1:4">
      <c r="A37" s="5" t="s">
        <v>2711</v>
      </c>
      <c r="B37" s="5" t="s">
        <v>2712</v>
      </c>
      <c r="C37" s="5" t="s">
        <v>2713</v>
      </c>
      <c r="D37" s="5" t="s">
        <v>2714</v>
      </c>
    </row>
    <row r="38" spans="1:4">
      <c r="A38" s="5" t="s">
        <v>2715</v>
      </c>
      <c r="B38" s="5" t="s">
        <v>2716</v>
      </c>
      <c r="C38" s="5" t="s">
        <v>2717</v>
      </c>
      <c r="D38" s="5" t="s">
        <v>2650</v>
      </c>
    </row>
    <row r="39" spans="1:4">
      <c r="A39" s="5" t="s">
        <v>2718</v>
      </c>
      <c r="B39" s="5" t="s">
        <v>1896</v>
      </c>
      <c r="C39" s="5" t="s">
        <v>2719</v>
      </c>
      <c r="D39" s="5" t="s">
        <v>2720</v>
      </c>
    </row>
    <row r="40" spans="1:4">
      <c r="A40" s="5" t="s">
        <v>2721</v>
      </c>
      <c r="B40" s="5" t="s">
        <v>2722</v>
      </c>
      <c r="C40" s="5" t="s">
        <v>2723</v>
      </c>
      <c r="D40" s="5" t="s">
        <v>2724</v>
      </c>
    </row>
    <row r="41" spans="1:4">
      <c r="A41" s="5" t="s">
        <v>2725</v>
      </c>
      <c r="B41" s="5" t="s">
        <v>2726</v>
      </c>
      <c r="C41" s="5" t="s">
        <v>2727</v>
      </c>
      <c r="D41" s="5" t="s">
        <v>2728</v>
      </c>
    </row>
    <row r="42" spans="1:4">
      <c r="A42" s="5" t="s">
        <v>2729</v>
      </c>
      <c r="B42" s="5" t="s">
        <v>2730</v>
      </c>
      <c r="C42" s="5" t="s">
        <v>2731</v>
      </c>
      <c r="D42" s="5" t="s">
        <v>2732</v>
      </c>
    </row>
    <row r="43" spans="1:4">
      <c r="A43" s="5" t="s">
        <v>2733</v>
      </c>
      <c r="B43" s="5" t="s">
        <v>2734</v>
      </c>
      <c r="C43" s="5" t="s">
        <v>2735</v>
      </c>
      <c r="D43" s="5" t="s">
        <v>2736</v>
      </c>
    </row>
    <row r="44" spans="1:4">
      <c r="A44" s="5" t="s">
        <v>2737</v>
      </c>
      <c r="B44" s="5" t="s">
        <v>2738</v>
      </c>
      <c r="C44" s="5" t="s">
        <v>2739</v>
      </c>
      <c r="D44" s="5" t="s">
        <v>2740</v>
      </c>
    </row>
    <row r="45" spans="1:4">
      <c r="A45" s="5" t="s">
        <v>2741</v>
      </c>
      <c r="B45" s="5" t="s">
        <v>2742</v>
      </c>
      <c r="C45" s="5" t="s">
        <v>2743</v>
      </c>
      <c r="D45" s="5" t="s">
        <v>2744</v>
      </c>
    </row>
    <row r="46" spans="1:4">
      <c r="A46" s="5" t="s">
        <v>2745</v>
      </c>
      <c r="B46" s="5" t="s">
        <v>2746</v>
      </c>
      <c r="C46" s="5" t="s">
        <v>2747</v>
      </c>
      <c r="D46" s="5" t="s">
        <v>2748</v>
      </c>
    </row>
    <row r="47" spans="1:4">
      <c r="A47" s="5" t="s">
        <v>2749</v>
      </c>
      <c r="B47" s="5" t="s">
        <v>2750</v>
      </c>
      <c r="C47" s="5" t="s">
        <v>2751</v>
      </c>
      <c r="D47" s="5" t="s">
        <v>2752</v>
      </c>
    </row>
    <row r="48" spans="1:4">
      <c r="A48" s="5" t="s">
        <v>2541</v>
      </c>
      <c r="B48" s="5" t="s">
        <v>2753</v>
      </c>
      <c r="C48" s="5" t="s">
        <v>2754</v>
      </c>
      <c r="D48" s="5" t="s">
        <v>2755</v>
      </c>
    </row>
    <row r="49" spans="1:4">
      <c r="A49" s="5" t="s">
        <v>2508</v>
      </c>
      <c r="B49" s="5" t="s">
        <v>2756</v>
      </c>
      <c r="C49" s="5" t="s">
        <v>2757</v>
      </c>
      <c r="D49" s="5" t="s">
        <v>2694</v>
      </c>
    </row>
    <row r="50" spans="1:4">
      <c r="A50" s="5" t="s">
        <v>2758</v>
      </c>
      <c r="B50" s="5" t="s">
        <v>2070</v>
      </c>
      <c r="C50" s="5" t="s">
        <v>2759</v>
      </c>
      <c r="D50" s="5" t="s">
        <v>2760</v>
      </c>
    </row>
    <row r="51" spans="1:4">
      <c r="A51" s="5" t="s">
        <v>2503</v>
      </c>
      <c r="B51" s="5" t="s">
        <v>2500</v>
      </c>
      <c r="C51" s="5" t="s">
        <v>2761</v>
      </c>
      <c r="D51" s="5" t="s">
        <v>2762</v>
      </c>
    </row>
    <row r="52" spans="1:4">
      <c r="A52" s="5" t="s">
        <v>2520</v>
      </c>
      <c r="B52" s="5" t="s">
        <v>2763</v>
      </c>
      <c r="C52" s="5" t="s">
        <v>2764</v>
      </c>
      <c r="D52" s="5" t="s">
        <v>2706</v>
      </c>
    </row>
    <row r="53" spans="1:4">
      <c r="A53" s="5" t="s">
        <v>2525</v>
      </c>
      <c r="B53" s="5" t="s">
        <v>2765</v>
      </c>
      <c r="C53" s="5" t="s">
        <v>2766</v>
      </c>
      <c r="D53" s="5" t="s">
        <v>2767</v>
      </c>
    </row>
    <row r="54" spans="1:4">
      <c r="A54" s="5" t="s">
        <v>2768</v>
      </c>
      <c r="B54" s="5" t="s">
        <v>2769</v>
      </c>
      <c r="C54" s="5" t="s">
        <v>2770</v>
      </c>
      <c r="D54" s="5" t="s">
        <v>2771</v>
      </c>
    </row>
    <row r="55" spans="1:4">
      <c r="A55" s="5" t="s">
        <v>2551</v>
      </c>
      <c r="B55" s="5" t="s">
        <v>2772</v>
      </c>
      <c r="C55" s="5" t="s">
        <v>2773</v>
      </c>
      <c r="D55" s="5" t="s">
        <v>2774</v>
      </c>
    </row>
    <row r="56" spans="1:4">
      <c r="A56" s="5" t="s">
        <v>2565</v>
      </c>
      <c r="B56" s="5" t="s">
        <v>2775</v>
      </c>
      <c r="C56" s="5" t="s">
        <v>2776</v>
      </c>
      <c r="D56" s="5" t="s">
        <v>2777</v>
      </c>
    </row>
    <row r="57" spans="1:4">
      <c r="A57" s="5" t="s">
        <v>2570</v>
      </c>
      <c r="B57" s="5" t="s">
        <v>2778</v>
      </c>
      <c r="C57" s="5" t="s">
        <v>2779</v>
      </c>
      <c r="D57" s="5" t="s">
        <v>2780</v>
      </c>
    </row>
    <row r="58" spans="1:4">
      <c r="A58" s="5" t="s">
        <v>2781</v>
      </c>
      <c r="B58" s="5" t="s">
        <v>2782</v>
      </c>
      <c r="C58" s="5" t="s">
        <v>2783</v>
      </c>
      <c r="D58" s="5" t="s">
        <v>2784</v>
      </c>
    </row>
    <row r="59" spans="1:4">
      <c r="A59" s="5" t="s">
        <v>2785</v>
      </c>
      <c r="B59" s="5" t="s">
        <v>2786</v>
      </c>
      <c r="C59" s="5" t="s">
        <v>2787</v>
      </c>
      <c r="D59" s="5" t="s">
        <v>2788</v>
      </c>
    </row>
    <row r="60" spans="1:4">
      <c r="A60" s="5" t="s">
        <v>2789</v>
      </c>
      <c r="B60" s="5" t="s">
        <v>2790</v>
      </c>
      <c r="C60" s="5" t="s">
        <v>2791</v>
      </c>
      <c r="D60" s="5" t="s">
        <v>2792</v>
      </c>
    </row>
    <row r="61" spans="1:4">
      <c r="A61" s="5" t="s">
        <v>2561</v>
      </c>
      <c r="B61" s="5" t="s">
        <v>2793</v>
      </c>
      <c r="C61" s="5" t="s">
        <v>2794</v>
      </c>
      <c r="D61" s="5" t="s">
        <v>2795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1"/>
    </sheetView>
  </sheetViews>
  <sheetFormatPr baseColWidth="10" defaultColWidth="8.796875" defaultRowHeight="13.8"/>
  <cols>
    <col min="1" max="1" width="12" customWidth="1"/>
    <col min="2" max="2" width="40" customWidth="1"/>
    <col min="3" max="3" width="100" customWidth="1"/>
  </cols>
  <sheetData>
    <row r="1" spans="1:3" ht="22.35" customHeight="1">
      <c r="A1" s="8" t="s">
        <v>2796</v>
      </c>
      <c r="B1" s="8"/>
      <c r="C1" s="8"/>
    </row>
    <row r="2" spans="1:3" ht="27.15" customHeight="1">
      <c r="A2" s="9" t="s">
        <v>2797</v>
      </c>
      <c r="B2" s="9"/>
      <c r="C2" s="9"/>
    </row>
    <row r="4" spans="1:3" ht="22.35" customHeight="1">
      <c r="A4" s="4" t="s">
        <v>94</v>
      </c>
      <c r="B4" s="4" t="s">
        <v>2798</v>
      </c>
      <c r="C4" s="4" t="s">
        <v>2799</v>
      </c>
    </row>
    <row r="5" spans="1:3" ht="27.6">
      <c r="A5" s="5" t="s">
        <v>2490</v>
      </c>
      <c r="B5" s="5" t="s">
        <v>2800</v>
      </c>
      <c r="C5" s="5" t="s">
        <v>2801</v>
      </c>
    </row>
    <row r="6" spans="1:3">
      <c r="A6" s="5" t="s">
        <v>2535</v>
      </c>
      <c r="B6" s="5" t="s">
        <v>2802</v>
      </c>
      <c r="C6" s="5" t="s">
        <v>2803</v>
      </c>
    </row>
    <row r="7" spans="1:3">
      <c r="A7" s="5" t="s">
        <v>2804</v>
      </c>
      <c r="B7" s="5" t="s">
        <v>2805</v>
      </c>
      <c r="C7" s="5" t="s">
        <v>2806</v>
      </c>
    </row>
    <row r="8" spans="1:3">
      <c r="A8" s="5" t="s">
        <v>2807</v>
      </c>
      <c r="B8" s="5" t="s">
        <v>2808</v>
      </c>
      <c r="C8" s="5" t="s">
        <v>2809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4" sqref="A4"/>
    </sheetView>
  </sheetViews>
  <sheetFormatPr baseColWidth="10" defaultColWidth="8.796875" defaultRowHeight="13.8"/>
  <cols>
    <col min="1" max="1" width="28" customWidth="1"/>
    <col min="2" max="2" width="66" customWidth="1"/>
    <col min="3" max="3" width="55" customWidth="1"/>
    <col min="4" max="4" width="80" customWidth="1"/>
  </cols>
  <sheetData>
    <row r="1" spans="1:4" ht="22.35" customHeight="1">
      <c r="A1" s="8" t="s">
        <v>2810</v>
      </c>
      <c r="B1" s="8"/>
      <c r="C1" s="8"/>
      <c r="D1" s="8"/>
    </row>
    <row r="2" spans="1:4" ht="27.15" customHeight="1">
      <c r="A2" s="9" t="s">
        <v>2811</v>
      </c>
      <c r="B2" s="9"/>
      <c r="C2" s="9"/>
      <c r="D2" s="9"/>
    </row>
    <row r="4" spans="1:4" ht="22.35" customHeight="1">
      <c r="A4" s="4" t="s">
        <v>2812</v>
      </c>
      <c r="B4" s="4" t="s">
        <v>2813</v>
      </c>
      <c r="C4" s="4" t="s">
        <v>2424</v>
      </c>
      <c r="D4" s="4" t="s">
        <v>2814</v>
      </c>
    </row>
    <row r="5" spans="1:4">
      <c r="A5" s="5" t="s">
        <v>618</v>
      </c>
      <c r="B5" s="5" t="s">
        <v>2815</v>
      </c>
      <c r="C5" s="5" t="s">
        <v>2816</v>
      </c>
      <c r="D5" s="5" t="s">
        <v>2817</v>
      </c>
    </row>
    <row r="6" spans="1:4">
      <c r="A6" s="5" t="s">
        <v>2818</v>
      </c>
      <c r="B6" s="5" t="s">
        <v>2819</v>
      </c>
      <c r="C6" s="5" t="s">
        <v>2820</v>
      </c>
      <c r="D6" s="5" t="s">
        <v>2821</v>
      </c>
    </row>
    <row r="7" spans="1:4">
      <c r="A7" s="5" t="s">
        <v>2822</v>
      </c>
      <c r="B7" s="5" t="s">
        <v>2823</v>
      </c>
      <c r="C7" s="5" t="s">
        <v>2824</v>
      </c>
      <c r="D7" s="5" t="s">
        <v>2825</v>
      </c>
    </row>
    <row r="8" spans="1:4">
      <c r="A8" s="5" t="s">
        <v>2826</v>
      </c>
      <c r="B8" s="5" t="s">
        <v>2827</v>
      </c>
      <c r="C8" s="5" t="s">
        <v>2828</v>
      </c>
      <c r="D8" s="5" t="s">
        <v>2829</v>
      </c>
    </row>
    <row r="9" spans="1:4">
      <c r="A9" s="5" t="s">
        <v>2830</v>
      </c>
      <c r="B9" s="5" t="s">
        <v>2831</v>
      </c>
      <c r="C9" s="5" t="s">
        <v>2832</v>
      </c>
      <c r="D9" s="5" t="s">
        <v>2833</v>
      </c>
    </row>
    <row r="10" spans="1:4">
      <c r="A10" s="5" t="s">
        <v>2834</v>
      </c>
      <c r="B10" s="5" t="s">
        <v>2835</v>
      </c>
      <c r="C10" s="5" t="s">
        <v>2836</v>
      </c>
      <c r="D10" s="5" t="s">
        <v>2837</v>
      </c>
    </row>
    <row r="11" spans="1:4">
      <c r="A11" s="5" t="s">
        <v>2838</v>
      </c>
      <c r="B11" s="5" t="s">
        <v>2839</v>
      </c>
      <c r="C11" s="5" t="s">
        <v>2840</v>
      </c>
      <c r="D11" s="5" t="s">
        <v>2841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5" sqref="A5"/>
    </sheetView>
  </sheetViews>
  <sheetFormatPr baseColWidth="10" defaultColWidth="8.796875" defaultRowHeight="13.8"/>
  <cols>
    <col min="1" max="1" width="20" customWidth="1"/>
    <col min="2" max="2" width="32" customWidth="1"/>
    <col min="3" max="3" width="85" customWidth="1"/>
    <col min="4" max="4" width="75" customWidth="1"/>
  </cols>
  <sheetData>
    <row r="1" spans="1:4" ht="22.35" customHeight="1">
      <c r="A1" s="8" t="s">
        <v>673</v>
      </c>
      <c r="B1" s="8"/>
      <c r="C1" s="8"/>
      <c r="D1" s="8"/>
    </row>
    <row r="2" spans="1:4" ht="27.15" customHeight="1">
      <c r="A2" s="9" t="s">
        <v>2842</v>
      </c>
      <c r="B2" s="9"/>
      <c r="C2" s="9"/>
      <c r="D2" s="9"/>
    </row>
    <row r="4" spans="1:4" ht="22.35" customHeight="1">
      <c r="A4" s="4" t="s">
        <v>224</v>
      </c>
      <c r="B4" s="4" t="s">
        <v>2843</v>
      </c>
      <c r="C4" s="4" t="s">
        <v>2844</v>
      </c>
      <c r="D4" s="4" t="s">
        <v>2845</v>
      </c>
    </row>
    <row r="5" spans="1:4">
      <c r="A5" s="5" t="s">
        <v>2846</v>
      </c>
      <c r="B5" s="5" t="s">
        <v>2847</v>
      </c>
      <c r="C5" s="5" t="s">
        <v>2848</v>
      </c>
      <c r="D5" s="5"/>
    </row>
    <row r="6" spans="1:4">
      <c r="A6" s="5" t="s">
        <v>2846</v>
      </c>
      <c r="B6" s="5" t="s">
        <v>2849</v>
      </c>
      <c r="C6" s="5" t="s">
        <v>2850</v>
      </c>
      <c r="D6" s="5"/>
    </row>
    <row r="7" spans="1:4">
      <c r="A7" s="5" t="s">
        <v>2846</v>
      </c>
      <c r="B7" s="5" t="s">
        <v>2851</v>
      </c>
      <c r="C7" s="5" t="s">
        <v>2852</v>
      </c>
      <c r="D7" s="5"/>
    </row>
    <row r="8" spans="1:4">
      <c r="A8" s="5" t="s">
        <v>2846</v>
      </c>
      <c r="B8" s="5" t="s">
        <v>2853</v>
      </c>
      <c r="C8" s="5" t="s">
        <v>2854</v>
      </c>
      <c r="D8" s="5"/>
    </row>
    <row r="9" spans="1:4">
      <c r="A9" s="5" t="s">
        <v>2846</v>
      </c>
      <c r="B9" s="5" t="s">
        <v>2855</v>
      </c>
      <c r="C9" s="5" t="s">
        <v>2856</v>
      </c>
      <c r="D9" s="5"/>
    </row>
    <row r="10" spans="1:4">
      <c r="A10" s="5" t="s">
        <v>2846</v>
      </c>
      <c r="B10" s="5" t="s">
        <v>2857</v>
      </c>
      <c r="C10" s="5" t="s">
        <v>2858</v>
      </c>
      <c r="D10" s="5"/>
    </row>
    <row r="11" spans="1:4">
      <c r="A11" s="5" t="s">
        <v>2846</v>
      </c>
      <c r="B11" s="5" t="s">
        <v>2859</v>
      </c>
      <c r="C11" s="5" t="s">
        <v>2860</v>
      </c>
      <c r="D11" s="5"/>
    </row>
    <row r="12" spans="1:4">
      <c r="A12" s="5" t="s">
        <v>2846</v>
      </c>
      <c r="B12" s="5" t="s">
        <v>2861</v>
      </c>
      <c r="C12" s="5" t="s">
        <v>2862</v>
      </c>
      <c r="D12" s="5"/>
    </row>
    <row r="13" spans="1:4">
      <c r="A13" s="5" t="s">
        <v>2863</v>
      </c>
      <c r="B13" s="5" t="s">
        <v>2864</v>
      </c>
      <c r="C13" s="5" t="s">
        <v>2865</v>
      </c>
      <c r="D13" s="5" t="s">
        <v>2866</v>
      </c>
    </row>
    <row r="14" spans="1:4">
      <c r="A14" s="5" t="s">
        <v>2863</v>
      </c>
      <c r="B14" s="5" t="s">
        <v>2867</v>
      </c>
      <c r="C14" s="5" t="s">
        <v>2868</v>
      </c>
      <c r="D14" s="5" t="s">
        <v>2869</v>
      </c>
    </row>
    <row r="15" spans="1:4">
      <c r="A15" s="5" t="s">
        <v>2863</v>
      </c>
      <c r="B15" s="5" t="s">
        <v>2870</v>
      </c>
      <c r="C15" s="5" t="s">
        <v>2871</v>
      </c>
      <c r="D15" s="5" t="s">
        <v>2872</v>
      </c>
    </row>
    <row r="16" spans="1:4">
      <c r="A16" s="5" t="s">
        <v>2863</v>
      </c>
      <c r="B16" s="5" t="s">
        <v>2873</v>
      </c>
      <c r="C16" s="5" t="s">
        <v>2874</v>
      </c>
      <c r="D16" s="5" t="s">
        <v>2875</v>
      </c>
    </row>
    <row r="17" spans="1:4">
      <c r="A17" s="5" t="s">
        <v>2863</v>
      </c>
      <c r="B17" s="5" t="s">
        <v>2876</v>
      </c>
      <c r="C17" s="5" t="s">
        <v>2877</v>
      </c>
      <c r="D17" s="5" t="s">
        <v>2878</v>
      </c>
    </row>
    <row r="18" spans="1:4">
      <c r="A18" s="5" t="s">
        <v>2863</v>
      </c>
      <c r="B18" s="5" t="s">
        <v>2879</v>
      </c>
      <c r="C18" s="5" t="s">
        <v>2880</v>
      </c>
      <c r="D18" s="5" t="s">
        <v>2881</v>
      </c>
    </row>
    <row r="19" spans="1:4">
      <c r="A19" s="5" t="s">
        <v>2863</v>
      </c>
      <c r="B19" s="5" t="s">
        <v>2882</v>
      </c>
      <c r="C19" s="5" t="s">
        <v>2883</v>
      </c>
      <c r="D19" s="5" t="s">
        <v>2884</v>
      </c>
    </row>
    <row r="20" spans="1:4">
      <c r="A20" s="5" t="s">
        <v>2863</v>
      </c>
      <c r="B20" s="5" t="s">
        <v>2885</v>
      </c>
      <c r="C20" s="5" t="s">
        <v>2886</v>
      </c>
      <c r="D20" s="5" t="s">
        <v>2887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B1" workbookViewId="0">
      <selection activeCell="D10" sqref="D10"/>
    </sheetView>
  </sheetViews>
  <sheetFormatPr baseColWidth="10" defaultColWidth="8.796875" defaultRowHeight="13.8"/>
  <cols>
    <col min="1" max="1" width="24" customWidth="1"/>
    <col min="2" max="2" width="34" customWidth="1"/>
    <col min="3" max="3" width="72" customWidth="1"/>
    <col min="4" max="4" width="60" customWidth="1"/>
  </cols>
  <sheetData>
    <row r="1" spans="1:4" ht="22.35" customHeight="1">
      <c r="A1" s="8" t="s">
        <v>2888</v>
      </c>
      <c r="B1" s="8"/>
      <c r="C1" s="8"/>
      <c r="D1" s="8"/>
    </row>
    <row r="2" spans="1:4" ht="27.15" customHeight="1">
      <c r="A2" s="9" t="s">
        <v>2889</v>
      </c>
      <c r="B2" s="9"/>
      <c r="C2" s="9"/>
      <c r="D2" s="9"/>
    </row>
    <row r="4" spans="1:4" ht="22.35" customHeight="1">
      <c r="A4" s="4" t="s">
        <v>224</v>
      </c>
      <c r="B4" s="4" t="s">
        <v>2890</v>
      </c>
      <c r="C4" s="4" t="s">
        <v>2891</v>
      </c>
      <c r="D4" s="4" t="s">
        <v>2892</v>
      </c>
    </row>
    <row r="5" spans="1:4">
      <c r="A5" s="5" t="s">
        <v>2893</v>
      </c>
      <c r="B5" s="5" t="s">
        <v>2894</v>
      </c>
      <c r="C5" s="5" t="s">
        <v>2895</v>
      </c>
      <c r="D5" s="5"/>
    </row>
    <row r="6" spans="1:4">
      <c r="A6" s="5" t="s">
        <v>2893</v>
      </c>
      <c r="B6" s="5" t="s">
        <v>2896</v>
      </c>
      <c r="C6" s="5" t="s">
        <v>2897</v>
      </c>
      <c r="D6" s="5"/>
    </row>
    <row r="7" spans="1:4">
      <c r="A7" s="5" t="s">
        <v>2893</v>
      </c>
      <c r="B7" s="5" t="s">
        <v>2898</v>
      </c>
      <c r="C7" s="5" t="s">
        <v>2899</v>
      </c>
      <c r="D7" s="5"/>
    </row>
    <row r="8" spans="1:4">
      <c r="A8" s="5" t="s">
        <v>2893</v>
      </c>
      <c r="B8" s="5" t="s">
        <v>2900</v>
      </c>
      <c r="C8" s="5" t="s">
        <v>2901</v>
      </c>
      <c r="D8" s="5"/>
    </row>
    <row r="9" spans="1:4">
      <c r="A9" s="5" t="s">
        <v>2893</v>
      </c>
      <c r="B9" s="5" t="s">
        <v>2902</v>
      </c>
      <c r="C9" s="5" t="s">
        <v>2903</v>
      </c>
      <c r="D9" s="5"/>
    </row>
    <row r="10" spans="1:4">
      <c r="A10" s="5" t="s">
        <v>2893</v>
      </c>
      <c r="B10" s="5" t="s">
        <v>2904</v>
      </c>
      <c r="C10" s="5" t="s">
        <v>2905</v>
      </c>
      <c r="D10" s="5"/>
    </row>
    <row r="11" spans="1:4">
      <c r="A11" s="5" t="s">
        <v>2893</v>
      </c>
      <c r="B11" s="5" t="s">
        <v>2906</v>
      </c>
      <c r="C11" s="5" t="s">
        <v>2907</v>
      </c>
      <c r="D11" s="5"/>
    </row>
    <row r="12" spans="1:4">
      <c r="A12" s="5" t="s">
        <v>2893</v>
      </c>
      <c r="B12" s="5" t="s">
        <v>2908</v>
      </c>
      <c r="C12" s="5" t="s">
        <v>2909</v>
      </c>
      <c r="D12" s="5"/>
    </row>
    <row r="13" spans="1:4">
      <c r="A13" s="5" t="s">
        <v>2893</v>
      </c>
      <c r="B13" s="5" t="s">
        <v>2910</v>
      </c>
      <c r="C13" s="5" t="s">
        <v>2911</v>
      </c>
      <c r="D13" s="5"/>
    </row>
    <row r="14" spans="1:4">
      <c r="A14" s="5" t="s">
        <v>2912</v>
      </c>
      <c r="B14" s="5" t="s">
        <v>259</v>
      </c>
      <c r="C14" s="5" t="s">
        <v>2913</v>
      </c>
      <c r="D14" s="5" t="s">
        <v>2914</v>
      </c>
    </row>
    <row r="15" spans="1:4">
      <c r="A15" s="5" t="s">
        <v>2912</v>
      </c>
      <c r="B15" s="5" t="s">
        <v>2915</v>
      </c>
      <c r="C15" s="5" t="s">
        <v>2916</v>
      </c>
      <c r="D15" s="5" t="s">
        <v>2917</v>
      </c>
    </row>
    <row r="16" spans="1:4">
      <c r="A16" s="5" t="s">
        <v>2912</v>
      </c>
      <c r="B16" s="5" t="s">
        <v>2918</v>
      </c>
      <c r="C16" s="5" t="s">
        <v>2919</v>
      </c>
      <c r="D16" s="5" t="s">
        <v>2920</v>
      </c>
    </row>
    <row r="17" spans="1:4">
      <c r="A17" s="5" t="s">
        <v>2912</v>
      </c>
      <c r="B17" s="5" t="s">
        <v>263</v>
      </c>
      <c r="C17" s="5" t="s">
        <v>2921</v>
      </c>
      <c r="D17" s="5" t="s">
        <v>2922</v>
      </c>
    </row>
    <row r="18" spans="1:4">
      <c r="A18" s="5" t="s">
        <v>2912</v>
      </c>
      <c r="B18" s="5" t="s">
        <v>2923</v>
      </c>
      <c r="C18" s="5" t="s">
        <v>2924</v>
      </c>
      <c r="D18" s="5" t="s">
        <v>2925</v>
      </c>
    </row>
    <row r="19" spans="1:4">
      <c r="A19" s="5" t="s">
        <v>2912</v>
      </c>
      <c r="B19" s="5" t="s">
        <v>265</v>
      </c>
      <c r="C19" s="5" t="s">
        <v>2926</v>
      </c>
      <c r="D19" s="5" t="s">
        <v>2922</v>
      </c>
    </row>
    <row r="20" spans="1:4">
      <c r="A20" s="5" t="s">
        <v>2912</v>
      </c>
      <c r="B20" s="5" t="s">
        <v>2927</v>
      </c>
      <c r="C20" s="5" t="s">
        <v>2928</v>
      </c>
      <c r="D20" s="5" t="s">
        <v>2929</v>
      </c>
    </row>
    <row r="21" spans="1:4">
      <c r="A21" s="5" t="s">
        <v>2912</v>
      </c>
      <c r="B21" s="5" t="s">
        <v>2930</v>
      </c>
      <c r="C21" s="5" t="s">
        <v>2931</v>
      </c>
      <c r="D21" s="5" t="s">
        <v>2932</v>
      </c>
    </row>
    <row r="22" spans="1:4">
      <c r="A22" s="5" t="s">
        <v>2912</v>
      </c>
      <c r="B22" s="5" t="s">
        <v>2933</v>
      </c>
      <c r="C22" s="5" t="s">
        <v>2934</v>
      </c>
      <c r="D22" s="5" t="s">
        <v>2935</v>
      </c>
    </row>
    <row r="23" spans="1:4">
      <c r="A23" s="5" t="s">
        <v>2936</v>
      </c>
      <c r="B23" s="5" t="s">
        <v>2937</v>
      </c>
      <c r="C23" s="5" t="s">
        <v>2938</v>
      </c>
      <c r="D23" s="5"/>
    </row>
    <row r="24" spans="1:4">
      <c r="A24" s="5" t="s">
        <v>2936</v>
      </c>
      <c r="B24" s="5" t="s">
        <v>2939</v>
      </c>
      <c r="C24" s="5" t="s">
        <v>2940</v>
      </c>
      <c r="D24" s="5"/>
    </row>
    <row r="25" spans="1:4">
      <c r="A25" s="5" t="s">
        <v>2936</v>
      </c>
      <c r="B25" s="5" t="s">
        <v>2941</v>
      </c>
      <c r="C25" s="5" t="s">
        <v>2942</v>
      </c>
      <c r="D25" s="5"/>
    </row>
    <row r="26" spans="1:4">
      <c r="A26" s="5" t="s">
        <v>2936</v>
      </c>
      <c r="B26" s="5" t="s">
        <v>2943</v>
      </c>
      <c r="C26" s="5" t="s">
        <v>2944</v>
      </c>
      <c r="D26" s="5"/>
    </row>
    <row r="27" spans="1:4">
      <c r="A27" s="5" t="s">
        <v>2936</v>
      </c>
      <c r="B27" s="5" t="s">
        <v>2250</v>
      </c>
      <c r="C27" s="5" t="s">
        <v>2945</v>
      </c>
      <c r="D27" s="5"/>
    </row>
    <row r="28" spans="1:4">
      <c r="A28" s="5" t="s">
        <v>2936</v>
      </c>
      <c r="B28" s="5" t="s">
        <v>2946</v>
      </c>
      <c r="C28" s="5" t="s">
        <v>2947</v>
      </c>
      <c r="D28" s="5"/>
    </row>
    <row r="29" spans="1:4">
      <c r="A29" s="5" t="s">
        <v>2936</v>
      </c>
      <c r="B29" s="5" t="s">
        <v>2948</v>
      </c>
      <c r="C29" s="5" t="s">
        <v>2949</v>
      </c>
      <c r="D29" s="5"/>
    </row>
    <row r="30" spans="1:4">
      <c r="A30" s="5" t="s">
        <v>2936</v>
      </c>
      <c r="B30" s="5" t="s">
        <v>2392</v>
      </c>
      <c r="C30" s="5" t="s">
        <v>2950</v>
      </c>
      <c r="D30" s="5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sqref="A1:D1"/>
    </sheetView>
  </sheetViews>
  <sheetFormatPr baseColWidth="10" defaultColWidth="8.796875" defaultRowHeight="13.8"/>
  <cols>
    <col min="1" max="1" width="24" customWidth="1"/>
    <col min="2" max="2" width="38" customWidth="1"/>
    <col min="3" max="3" width="75" customWidth="1"/>
    <col min="4" max="4" width="72" customWidth="1"/>
  </cols>
  <sheetData>
    <row r="1" spans="1:4" ht="22.35" customHeight="1">
      <c r="A1" s="8" t="s">
        <v>2951</v>
      </c>
      <c r="B1" s="8"/>
      <c r="C1" s="8"/>
      <c r="D1" s="8"/>
    </row>
    <row r="2" spans="1:4" ht="27.15" customHeight="1">
      <c r="A2" s="9" t="s">
        <v>2952</v>
      </c>
      <c r="B2" s="9"/>
      <c r="C2" s="9"/>
      <c r="D2" s="9"/>
    </row>
    <row r="4" spans="1:4" ht="22.35" customHeight="1">
      <c r="A4" s="4" t="s">
        <v>224</v>
      </c>
      <c r="B4" s="4" t="s">
        <v>2953</v>
      </c>
      <c r="C4" s="4" t="s">
        <v>2954</v>
      </c>
      <c r="D4" s="4" t="s">
        <v>2955</v>
      </c>
    </row>
    <row r="5" spans="1:4">
      <c r="A5" s="5" t="s">
        <v>2956</v>
      </c>
      <c r="B5" s="5" t="s">
        <v>2957</v>
      </c>
      <c r="C5" s="5" t="s">
        <v>2958</v>
      </c>
      <c r="D5" s="5" t="s">
        <v>2959</v>
      </c>
    </row>
    <row r="6" spans="1:4">
      <c r="A6" s="5" t="s">
        <v>2956</v>
      </c>
      <c r="B6" s="5" t="s">
        <v>1591</v>
      </c>
      <c r="C6" s="5" t="s">
        <v>2960</v>
      </c>
      <c r="D6" s="5" t="s">
        <v>2961</v>
      </c>
    </row>
    <row r="7" spans="1:4">
      <c r="A7" s="5" t="s">
        <v>2956</v>
      </c>
      <c r="B7" s="5" t="s">
        <v>2962</v>
      </c>
      <c r="C7" s="5" t="s">
        <v>2963</v>
      </c>
      <c r="D7" s="5" t="s">
        <v>2964</v>
      </c>
    </row>
    <row r="8" spans="1:4">
      <c r="A8" s="5" t="s">
        <v>2956</v>
      </c>
      <c r="B8" s="5" t="s">
        <v>2965</v>
      </c>
      <c r="C8" s="5" t="s">
        <v>2966</v>
      </c>
      <c r="D8" s="5" t="s">
        <v>2967</v>
      </c>
    </row>
    <row r="9" spans="1:4">
      <c r="A9" s="5" t="s">
        <v>2956</v>
      </c>
      <c r="B9" s="5" t="s">
        <v>184</v>
      </c>
      <c r="C9" s="5" t="s">
        <v>2968</v>
      </c>
      <c r="D9" s="5" t="s">
        <v>2969</v>
      </c>
    </row>
    <row r="10" spans="1:4">
      <c r="A10" s="5" t="s">
        <v>2956</v>
      </c>
      <c r="B10" s="5" t="s">
        <v>2923</v>
      </c>
      <c r="C10" s="5" t="s">
        <v>2970</v>
      </c>
      <c r="D10" s="5" t="s">
        <v>2971</v>
      </c>
    </row>
    <row r="11" spans="1:4">
      <c r="A11" s="5" t="s">
        <v>2956</v>
      </c>
      <c r="B11" s="5" t="s">
        <v>2972</v>
      </c>
      <c r="C11" s="5" t="s">
        <v>2973</v>
      </c>
      <c r="D11" s="5" t="s">
        <v>2974</v>
      </c>
    </row>
    <row r="12" spans="1:4">
      <c r="A12" s="5" t="s">
        <v>2956</v>
      </c>
      <c r="B12" s="5" t="s">
        <v>2975</v>
      </c>
      <c r="C12" s="5" t="s">
        <v>2976</v>
      </c>
      <c r="D12" s="5" t="s">
        <v>2977</v>
      </c>
    </row>
    <row r="13" spans="1:4">
      <c r="A13" s="5" t="s">
        <v>2956</v>
      </c>
      <c r="B13" s="5" t="s">
        <v>2978</v>
      </c>
      <c r="C13" s="5" t="s">
        <v>2979</v>
      </c>
      <c r="D13" s="5" t="s">
        <v>2980</v>
      </c>
    </row>
    <row r="14" spans="1:4">
      <c r="A14" s="5" t="s">
        <v>2956</v>
      </c>
      <c r="B14" s="5" t="s">
        <v>269</v>
      </c>
      <c r="C14" s="5" t="s">
        <v>2981</v>
      </c>
      <c r="D14" s="5" t="s">
        <v>2982</v>
      </c>
    </row>
    <row r="15" spans="1:4">
      <c r="A15" s="5" t="s">
        <v>2956</v>
      </c>
      <c r="B15" s="5" t="s">
        <v>2983</v>
      </c>
      <c r="C15" s="5" t="s">
        <v>2984</v>
      </c>
      <c r="D15" s="5" t="s">
        <v>2985</v>
      </c>
    </row>
    <row r="16" spans="1:4">
      <c r="A16" s="5" t="s">
        <v>2956</v>
      </c>
      <c r="B16" s="5" t="s">
        <v>2986</v>
      </c>
      <c r="C16" s="5" t="s">
        <v>2987</v>
      </c>
      <c r="D16" s="5" t="s">
        <v>2988</v>
      </c>
    </row>
    <row r="17" spans="1:4">
      <c r="A17" s="5" t="s">
        <v>2956</v>
      </c>
      <c r="B17" s="5" t="s">
        <v>2989</v>
      </c>
      <c r="C17" s="5" t="s">
        <v>2990</v>
      </c>
      <c r="D17" s="5" t="s">
        <v>2991</v>
      </c>
    </row>
    <row r="18" spans="1:4">
      <c r="A18" s="5" t="s">
        <v>2956</v>
      </c>
      <c r="B18" s="5" t="s">
        <v>2933</v>
      </c>
      <c r="C18" s="5" t="s">
        <v>2992</v>
      </c>
      <c r="D18" s="5" t="s">
        <v>2993</v>
      </c>
    </row>
    <row r="19" spans="1:4">
      <c r="A19" s="5" t="s">
        <v>2956</v>
      </c>
      <c r="B19" s="5" t="s">
        <v>1486</v>
      </c>
      <c r="C19" s="5" t="s">
        <v>2994</v>
      </c>
      <c r="D19" s="5" t="s">
        <v>2995</v>
      </c>
    </row>
    <row r="20" spans="1:4">
      <c r="A20" s="5" t="s">
        <v>2956</v>
      </c>
      <c r="B20" s="5" t="s">
        <v>2996</v>
      </c>
      <c r="C20" s="5" t="s">
        <v>2997</v>
      </c>
      <c r="D20" s="5" t="s">
        <v>2998</v>
      </c>
    </row>
    <row r="21" spans="1:4">
      <c r="A21" s="5" t="s">
        <v>2956</v>
      </c>
      <c r="B21" s="5" t="s">
        <v>2999</v>
      </c>
      <c r="C21" s="5" t="s">
        <v>3000</v>
      </c>
      <c r="D21" s="5" t="s">
        <v>3001</v>
      </c>
    </row>
    <row r="22" spans="1:4">
      <c r="A22" s="5" t="s">
        <v>2956</v>
      </c>
      <c r="B22" s="5" t="s">
        <v>3002</v>
      </c>
      <c r="C22" s="5" t="s">
        <v>3003</v>
      </c>
      <c r="D22" s="5" t="s">
        <v>3004</v>
      </c>
    </row>
    <row r="23" spans="1:4">
      <c r="A23" s="5" t="s">
        <v>2956</v>
      </c>
      <c r="B23" s="5" t="s">
        <v>32</v>
      </c>
      <c r="C23" s="5" t="s">
        <v>3005</v>
      </c>
      <c r="D23" s="5" t="s">
        <v>3006</v>
      </c>
    </row>
    <row r="24" spans="1:4">
      <c r="A24" s="5" t="s">
        <v>2956</v>
      </c>
      <c r="B24" s="5" t="s">
        <v>3007</v>
      </c>
      <c r="C24" s="5" t="s">
        <v>3008</v>
      </c>
      <c r="D24" s="5" t="s">
        <v>3009</v>
      </c>
    </row>
    <row r="25" spans="1:4">
      <c r="A25" s="5" t="s">
        <v>2956</v>
      </c>
      <c r="B25" s="5" t="s">
        <v>3010</v>
      </c>
      <c r="C25" s="5" t="s">
        <v>3011</v>
      </c>
      <c r="D25" s="5" t="s">
        <v>3012</v>
      </c>
    </row>
    <row r="26" spans="1:4">
      <c r="A26" s="5" t="s">
        <v>2956</v>
      </c>
      <c r="B26" s="5" t="s">
        <v>3013</v>
      </c>
      <c r="C26" s="5" t="s">
        <v>3014</v>
      </c>
      <c r="D26" s="5" t="s">
        <v>3015</v>
      </c>
    </row>
    <row r="27" spans="1:4">
      <c r="A27" s="5" t="s">
        <v>2956</v>
      </c>
      <c r="B27" s="5" t="s">
        <v>283</v>
      </c>
      <c r="C27" s="5" t="s">
        <v>3016</v>
      </c>
      <c r="D27" s="5" t="s">
        <v>3017</v>
      </c>
    </row>
    <row r="28" spans="1:4">
      <c r="A28" s="5" t="s">
        <v>3018</v>
      </c>
      <c r="B28" s="5" t="s">
        <v>3019</v>
      </c>
      <c r="C28" s="5" t="s">
        <v>3020</v>
      </c>
      <c r="D28" s="5" t="s">
        <v>3021</v>
      </c>
    </row>
    <row r="29" spans="1:4">
      <c r="A29" s="5" t="s">
        <v>3018</v>
      </c>
      <c r="B29" s="5" t="s">
        <v>3022</v>
      </c>
      <c r="C29" s="5" t="s">
        <v>3020</v>
      </c>
      <c r="D29" s="5" t="s">
        <v>3023</v>
      </c>
    </row>
    <row r="30" spans="1:4">
      <c r="A30" s="5" t="s">
        <v>3018</v>
      </c>
      <c r="B30" s="5" t="s">
        <v>3024</v>
      </c>
      <c r="C30" s="5" t="s">
        <v>3020</v>
      </c>
      <c r="D30" s="5" t="s">
        <v>3025</v>
      </c>
    </row>
    <row r="31" spans="1:4">
      <c r="A31" s="5" t="s">
        <v>3018</v>
      </c>
      <c r="B31" s="5" t="s">
        <v>3026</v>
      </c>
      <c r="C31" s="5" t="s">
        <v>3020</v>
      </c>
      <c r="D31" s="5" t="s">
        <v>3027</v>
      </c>
    </row>
    <row r="32" spans="1:4">
      <c r="A32" s="5" t="s">
        <v>3018</v>
      </c>
      <c r="B32" s="5" t="s">
        <v>3028</v>
      </c>
      <c r="C32" s="5" t="s">
        <v>3020</v>
      </c>
      <c r="D32" s="5" t="s">
        <v>3029</v>
      </c>
    </row>
    <row r="33" spans="1:4">
      <c r="A33" s="5" t="s">
        <v>3018</v>
      </c>
      <c r="B33" s="5" t="s">
        <v>3030</v>
      </c>
      <c r="C33" s="5" t="s">
        <v>3031</v>
      </c>
      <c r="D33" s="5" t="s">
        <v>3032</v>
      </c>
    </row>
    <row r="34" spans="1:4">
      <c r="A34" s="5" t="s">
        <v>3018</v>
      </c>
      <c r="B34" s="5" t="s">
        <v>3033</v>
      </c>
      <c r="C34" s="5" t="s">
        <v>3034</v>
      </c>
      <c r="D34" s="5" t="s">
        <v>3035</v>
      </c>
    </row>
    <row r="35" spans="1:4">
      <c r="A35" s="5" t="s">
        <v>3018</v>
      </c>
      <c r="B35" s="5" t="s">
        <v>3036</v>
      </c>
      <c r="C35" s="5" t="s">
        <v>3037</v>
      </c>
      <c r="D35" s="5" t="s">
        <v>3038</v>
      </c>
    </row>
    <row r="36" spans="1:4">
      <c r="A36" s="5" t="s">
        <v>3018</v>
      </c>
      <c r="B36" s="5" t="s">
        <v>3039</v>
      </c>
      <c r="C36" s="5" t="s">
        <v>3020</v>
      </c>
      <c r="D36" s="5" t="s">
        <v>3040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C1" workbookViewId="0">
      <selection activeCell="F4" sqref="F4"/>
    </sheetView>
  </sheetViews>
  <sheetFormatPr baseColWidth="10" defaultColWidth="8.796875" defaultRowHeight="13.8"/>
  <cols>
    <col min="1" max="1" width="24" customWidth="1"/>
    <col min="2" max="2" width="34" customWidth="1"/>
    <col min="3" max="3" width="88" customWidth="1"/>
    <col min="4" max="4" width="72" customWidth="1"/>
  </cols>
  <sheetData>
    <row r="1" spans="1:4" ht="22.35" customHeight="1">
      <c r="A1" s="8" t="s">
        <v>3041</v>
      </c>
      <c r="B1" s="8"/>
      <c r="C1" s="8"/>
      <c r="D1" s="8"/>
    </row>
    <row r="2" spans="1:4" ht="27.15" customHeight="1">
      <c r="A2" s="9" t="s">
        <v>3042</v>
      </c>
      <c r="B2" s="9"/>
      <c r="C2" s="9"/>
      <c r="D2" s="9"/>
    </row>
    <row r="4" spans="1:4" ht="22.35" customHeight="1">
      <c r="A4" s="4" t="s">
        <v>224</v>
      </c>
      <c r="B4" s="4" t="s">
        <v>225</v>
      </c>
      <c r="C4" s="4" t="s">
        <v>3043</v>
      </c>
      <c r="D4" s="4" t="s">
        <v>3044</v>
      </c>
    </row>
    <row r="5" spans="1:4">
      <c r="A5" s="5" t="s">
        <v>3045</v>
      </c>
      <c r="B5" s="5" t="s">
        <v>3046</v>
      </c>
      <c r="C5" s="5" t="s">
        <v>3047</v>
      </c>
      <c r="D5" s="5"/>
    </row>
    <row r="6" spans="1:4">
      <c r="A6" s="5" t="s">
        <v>3045</v>
      </c>
      <c r="B6" s="5" t="s">
        <v>3048</v>
      </c>
      <c r="C6" s="5" t="s">
        <v>3049</v>
      </c>
      <c r="D6" s="5"/>
    </row>
    <row r="7" spans="1:4">
      <c r="A7" s="5" t="s">
        <v>3045</v>
      </c>
      <c r="B7" s="5" t="s">
        <v>3050</v>
      </c>
      <c r="C7" s="5" t="s">
        <v>3051</v>
      </c>
      <c r="D7" s="5"/>
    </row>
    <row r="8" spans="1:4">
      <c r="A8" s="5" t="s">
        <v>3045</v>
      </c>
      <c r="B8" s="5" t="s">
        <v>3052</v>
      </c>
      <c r="C8" s="5" t="s">
        <v>3053</v>
      </c>
      <c r="D8" s="5"/>
    </row>
    <row r="9" spans="1:4">
      <c r="A9" s="5" t="s">
        <v>3045</v>
      </c>
      <c r="B9" s="5" t="s">
        <v>3054</v>
      </c>
      <c r="C9" s="5" t="s">
        <v>3055</v>
      </c>
      <c r="D9" s="5"/>
    </row>
    <row r="10" spans="1:4">
      <c r="A10" s="5" t="s">
        <v>3045</v>
      </c>
      <c r="B10" s="5" t="s">
        <v>3056</v>
      </c>
      <c r="C10" s="5" t="s">
        <v>3057</v>
      </c>
      <c r="D10" s="5"/>
    </row>
    <row r="11" spans="1:4">
      <c r="A11" s="5" t="s">
        <v>3045</v>
      </c>
      <c r="B11" s="5" t="s">
        <v>3058</v>
      </c>
      <c r="C11" s="5" t="s">
        <v>3059</v>
      </c>
      <c r="D11" s="5"/>
    </row>
    <row r="12" spans="1:4">
      <c r="A12" s="5" t="s">
        <v>3045</v>
      </c>
      <c r="B12" s="5" t="s">
        <v>3060</v>
      </c>
      <c r="C12" s="5" t="s">
        <v>3061</v>
      </c>
      <c r="D12" s="5"/>
    </row>
    <row r="13" spans="1:4">
      <c r="A13" s="5" t="s">
        <v>3045</v>
      </c>
      <c r="B13" s="5" t="s">
        <v>3062</v>
      </c>
      <c r="C13" s="5" t="s">
        <v>3063</v>
      </c>
      <c r="D13" s="5"/>
    </row>
    <row r="14" spans="1:4">
      <c r="A14" s="5" t="s">
        <v>3045</v>
      </c>
      <c r="B14" s="5" t="s">
        <v>3064</v>
      </c>
      <c r="C14" s="5" t="s">
        <v>3065</v>
      </c>
      <c r="D14" s="5"/>
    </row>
    <row r="15" spans="1:4">
      <c r="A15" s="5" t="s">
        <v>3045</v>
      </c>
      <c r="B15" s="5" t="s">
        <v>3066</v>
      </c>
      <c r="C15" s="5" t="s">
        <v>3067</v>
      </c>
      <c r="D15" s="5"/>
    </row>
    <row r="16" spans="1:4">
      <c r="A16" s="5" t="s">
        <v>3045</v>
      </c>
      <c r="B16" s="5" t="s">
        <v>3068</v>
      </c>
      <c r="C16" s="5" t="s">
        <v>3069</v>
      </c>
      <c r="D16" s="5"/>
    </row>
    <row r="17" spans="1:4">
      <c r="A17" s="5" t="s">
        <v>3045</v>
      </c>
      <c r="B17" s="5" t="s">
        <v>3070</v>
      </c>
      <c r="C17" s="5" t="s">
        <v>3071</v>
      </c>
      <c r="D17" s="5"/>
    </row>
    <row r="18" spans="1:4">
      <c r="A18" s="5" t="s">
        <v>3045</v>
      </c>
      <c r="B18" s="5" t="s">
        <v>3072</v>
      </c>
      <c r="C18" s="5" t="s">
        <v>3073</v>
      </c>
      <c r="D18" s="5"/>
    </row>
    <row r="19" spans="1:4">
      <c r="A19" s="5" t="s">
        <v>3045</v>
      </c>
      <c r="B19" s="5" t="s">
        <v>3074</v>
      </c>
      <c r="C19" s="5" t="s">
        <v>3075</v>
      </c>
      <c r="D19" s="5"/>
    </row>
    <row r="20" spans="1:4">
      <c r="A20" s="5" t="s">
        <v>3045</v>
      </c>
      <c r="B20" s="5" t="s">
        <v>3076</v>
      </c>
      <c r="C20" s="5" t="s">
        <v>3077</v>
      </c>
      <c r="D20" s="5"/>
    </row>
    <row r="21" spans="1:4">
      <c r="A21" s="5" t="s">
        <v>3045</v>
      </c>
      <c r="B21" s="5" t="s">
        <v>3078</v>
      </c>
      <c r="C21" s="5" t="s">
        <v>3079</v>
      </c>
      <c r="D21" s="5"/>
    </row>
    <row r="22" spans="1:4">
      <c r="A22" s="5" t="s">
        <v>3045</v>
      </c>
      <c r="B22" s="5" t="s">
        <v>3080</v>
      </c>
      <c r="C22" s="5" t="s">
        <v>3081</v>
      </c>
      <c r="D22" s="5"/>
    </row>
    <row r="23" spans="1:4">
      <c r="A23" s="5" t="s">
        <v>3045</v>
      </c>
      <c r="B23" s="5" t="s">
        <v>3082</v>
      </c>
      <c r="C23" s="5" t="s">
        <v>3083</v>
      </c>
      <c r="D23" s="5"/>
    </row>
    <row r="24" spans="1:4">
      <c r="A24" s="5" t="s">
        <v>3045</v>
      </c>
      <c r="B24" s="5" t="s">
        <v>3084</v>
      </c>
      <c r="C24" s="5" t="s">
        <v>3085</v>
      </c>
      <c r="D24" s="5"/>
    </row>
    <row r="25" spans="1:4">
      <c r="A25" s="5" t="s">
        <v>3045</v>
      </c>
      <c r="B25" s="5" t="s">
        <v>3086</v>
      </c>
      <c r="C25" s="5" t="s">
        <v>3087</v>
      </c>
      <c r="D25" s="5"/>
    </row>
    <row r="26" spans="1:4">
      <c r="A26" s="5" t="s">
        <v>3045</v>
      </c>
      <c r="B26" s="5" t="s">
        <v>3088</v>
      </c>
      <c r="C26" s="5" t="s">
        <v>3089</v>
      </c>
      <c r="D26" s="5"/>
    </row>
    <row r="27" spans="1:4">
      <c r="A27" s="5" t="s">
        <v>3090</v>
      </c>
      <c r="B27" s="5" t="s">
        <v>3091</v>
      </c>
      <c r="C27" s="5" t="s">
        <v>3092</v>
      </c>
      <c r="D27" s="5" t="s">
        <v>3093</v>
      </c>
    </row>
    <row r="28" spans="1:4">
      <c r="A28" s="5" t="s">
        <v>3090</v>
      </c>
      <c r="B28" s="5" t="s">
        <v>3094</v>
      </c>
      <c r="C28" s="5" t="s">
        <v>3095</v>
      </c>
      <c r="D28" s="5" t="s">
        <v>3096</v>
      </c>
    </row>
    <row r="29" spans="1:4">
      <c r="A29" s="5" t="s">
        <v>3090</v>
      </c>
      <c r="B29" s="5" t="s">
        <v>3097</v>
      </c>
      <c r="C29" s="5" t="s">
        <v>3098</v>
      </c>
      <c r="D29" s="5" t="s">
        <v>3099</v>
      </c>
    </row>
    <row r="30" spans="1:4">
      <c r="A30" s="5" t="s">
        <v>3090</v>
      </c>
      <c r="B30" s="5" t="s">
        <v>3100</v>
      </c>
      <c r="C30" s="5" t="s">
        <v>3101</v>
      </c>
      <c r="D30" s="5" t="s">
        <v>3102</v>
      </c>
    </row>
    <row r="31" spans="1:4">
      <c r="A31" s="5" t="s">
        <v>3090</v>
      </c>
      <c r="B31" s="5" t="s">
        <v>3103</v>
      </c>
      <c r="C31" s="5" t="s">
        <v>3104</v>
      </c>
      <c r="D31" s="5" t="s">
        <v>3105</v>
      </c>
    </row>
    <row r="32" spans="1:4">
      <c r="A32" s="5" t="s">
        <v>3090</v>
      </c>
      <c r="B32" s="5" t="s">
        <v>2906</v>
      </c>
      <c r="C32" s="5" t="s">
        <v>3106</v>
      </c>
      <c r="D32" s="5" t="s">
        <v>3107</v>
      </c>
    </row>
    <row r="33" spans="1:4">
      <c r="A33" s="5" t="s">
        <v>3090</v>
      </c>
      <c r="B33" s="5" t="s">
        <v>3108</v>
      </c>
      <c r="C33" s="5" t="s">
        <v>3109</v>
      </c>
      <c r="D33" s="5" t="s">
        <v>3110</v>
      </c>
    </row>
    <row r="34" spans="1:4">
      <c r="A34" s="5" t="s">
        <v>3090</v>
      </c>
      <c r="B34" s="5" t="s">
        <v>3111</v>
      </c>
      <c r="C34" s="5" t="s">
        <v>3112</v>
      </c>
      <c r="D34" s="5" t="s">
        <v>3113</v>
      </c>
    </row>
    <row r="35" spans="1:4">
      <c r="A35" s="5" t="s">
        <v>3114</v>
      </c>
      <c r="B35" s="5" t="s">
        <v>11</v>
      </c>
      <c r="C35" s="5" t="s">
        <v>3115</v>
      </c>
      <c r="D35" s="5"/>
    </row>
    <row r="36" spans="1:4">
      <c r="A36" s="5" t="s">
        <v>3114</v>
      </c>
      <c r="B36" s="5" t="s">
        <v>13</v>
      </c>
      <c r="C36" s="5" t="s">
        <v>3116</v>
      </c>
      <c r="D36" s="5"/>
    </row>
    <row r="37" spans="1:4">
      <c r="A37" s="5" t="s">
        <v>3114</v>
      </c>
      <c r="B37" s="5" t="s">
        <v>15</v>
      </c>
      <c r="C37" s="5" t="s">
        <v>3117</v>
      </c>
      <c r="D37" s="5"/>
    </row>
    <row r="38" spans="1:4">
      <c r="A38" s="5" t="s">
        <v>3114</v>
      </c>
      <c r="B38" s="5" t="s">
        <v>16</v>
      </c>
      <c r="C38" s="5" t="s">
        <v>3118</v>
      </c>
      <c r="D38" s="5"/>
    </row>
    <row r="39" spans="1:4">
      <c r="A39" s="5" t="s">
        <v>3114</v>
      </c>
      <c r="B39" s="5" t="s">
        <v>2536</v>
      </c>
      <c r="C39" s="5" t="s">
        <v>3119</v>
      </c>
      <c r="D39" s="5"/>
    </row>
    <row r="40" spans="1:4">
      <c r="A40" s="5" t="s">
        <v>3114</v>
      </c>
      <c r="B40" s="5" t="s">
        <v>20</v>
      </c>
      <c r="C40" s="5" t="s">
        <v>3120</v>
      </c>
      <c r="D40" s="5"/>
    </row>
    <row r="41" spans="1:4">
      <c r="A41" s="5" t="s">
        <v>3114</v>
      </c>
      <c r="B41" s="5" t="s">
        <v>23</v>
      </c>
      <c r="C41" s="5" t="s">
        <v>3121</v>
      </c>
      <c r="D41" s="5"/>
    </row>
    <row r="42" spans="1:4">
      <c r="A42" s="5" t="s">
        <v>3114</v>
      </c>
      <c r="B42" s="5" t="s">
        <v>3122</v>
      </c>
      <c r="C42" s="5" t="s">
        <v>3123</v>
      </c>
      <c r="D42" s="5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baseColWidth="10" defaultColWidth="8.796875" defaultRowHeight="13.8"/>
  <cols>
    <col min="1" max="1" width="16" customWidth="1"/>
    <col min="2" max="2" width="100" customWidth="1"/>
    <col min="3" max="3" width="45" customWidth="1"/>
  </cols>
  <sheetData>
    <row r="1" spans="1:3" ht="22.35" customHeight="1">
      <c r="A1" s="8" t="s">
        <v>3124</v>
      </c>
      <c r="B1" s="8"/>
      <c r="C1" s="8"/>
    </row>
    <row r="2" spans="1:3" ht="27.15" customHeight="1">
      <c r="A2" s="9" t="s">
        <v>3125</v>
      </c>
      <c r="B2" s="9"/>
      <c r="C2" s="9"/>
    </row>
    <row r="4" spans="1:3" ht="22.35" customHeight="1">
      <c r="A4" s="4" t="s">
        <v>3126</v>
      </c>
      <c r="B4" s="4" t="s">
        <v>19</v>
      </c>
      <c r="C4" s="4" t="s">
        <v>3127</v>
      </c>
    </row>
    <row r="5" spans="1:3">
      <c r="A5" s="5" t="s">
        <v>3128</v>
      </c>
      <c r="B5" s="5" t="s">
        <v>3129</v>
      </c>
      <c r="C5" s="5" t="s">
        <v>1828</v>
      </c>
    </row>
    <row r="6" spans="1:3">
      <c r="A6" s="5" t="s">
        <v>3130</v>
      </c>
      <c r="B6" s="5" t="s">
        <v>3131</v>
      </c>
      <c r="C6" s="5" t="s">
        <v>3128</v>
      </c>
    </row>
    <row r="7" spans="1:3">
      <c r="A7" s="5" t="s">
        <v>3132</v>
      </c>
      <c r="B7" s="5" t="s">
        <v>3133</v>
      </c>
      <c r="C7" s="5" t="s">
        <v>3130</v>
      </c>
    </row>
    <row r="8" spans="1:3">
      <c r="A8" s="5" t="s">
        <v>3134</v>
      </c>
      <c r="B8" s="5" t="s">
        <v>3135</v>
      </c>
      <c r="C8" s="5" t="s">
        <v>3130</v>
      </c>
    </row>
    <row r="9" spans="1:3">
      <c r="A9" s="5" t="s">
        <v>3136</v>
      </c>
      <c r="B9" s="5" t="s">
        <v>3137</v>
      </c>
      <c r="C9" s="5" t="s">
        <v>3138</v>
      </c>
    </row>
    <row r="10" spans="1:3">
      <c r="A10" s="5" t="s">
        <v>3139</v>
      </c>
      <c r="B10" s="5" t="s">
        <v>3140</v>
      </c>
      <c r="C10" s="5" t="s">
        <v>3141</v>
      </c>
    </row>
    <row r="11" spans="1:3">
      <c r="A11" s="5" t="s">
        <v>3142</v>
      </c>
      <c r="B11" s="5" t="s">
        <v>3143</v>
      </c>
      <c r="C11" s="5" t="s">
        <v>3144</v>
      </c>
    </row>
    <row r="12" spans="1:3">
      <c r="A12" s="5" t="s">
        <v>3145</v>
      </c>
      <c r="B12" s="5" t="s">
        <v>3146</v>
      </c>
      <c r="C12" s="5" t="s">
        <v>3147</v>
      </c>
    </row>
    <row r="13" spans="1:3">
      <c r="A13" s="5" t="s">
        <v>3148</v>
      </c>
      <c r="B13" s="5" t="s">
        <v>3149</v>
      </c>
      <c r="C13" s="5" t="s">
        <v>3150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D2" sqref="D2"/>
    </sheetView>
  </sheetViews>
  <sheetFormatPr baseColWidth="10" defaultColWidth="8.796875" defaultRowHeight="13.8"/>
  <cols>
    <col min="1" max="1" width="12" customWidth="1"/>
    <col min="2" max="2" width="45" customWidth="1"/>
    <col min="3" max="3" width="28" customWidth="1"/>
  </cols>
  <sheetData>
    <row r="1" spans="1:3" ht="22.35" customHeight="1">
      <c r="A1" s="8" t="s">
        <v>3151</v>
      </c>
      <c r="B1" s="8"/>
      <c r="C1" s="8"/>
    </row>
    <row r="2" spans="1:3" ht="27.15" customHeight="1">
      <c r="A2" s="9"/>
      <c r="B2" s="9"/>
      <c r="C2" s="9"/>
    </row>
    <row r="4" spans="1:3" ht="22.35" customHeight="1">
      <c r="A4" s="4" t="s">
        <v>65</v>
      </c>
      <c r="B4" s="4" t="s">
        <v>306</v>
      </c>
      <c r="C4" s="4" t="s">
        <v>8</v>
      </c>
    </row>
    <row r="5" spans="1:3">
      <c r="A5" s="5" t="s">
        <v>322</v>
      </c>
      <c r="B5" s="5" t="s">
        <v>323</v>
      </c>
      <c r="C5" s="5" t="s">
        <v>29</v>
      </c>
    </row>
    <row r="6" spans="1:3">
      <c r="A6" s="5" t="s">
        <v>341</v>
      </c>
      <c r="B6" s="5" t="s">
        <v>342</v>
      </c>
      <c r="C6" s="5" t="s">
        <v>29</v>
      </c>
    </row>
    <row r="7" spans="1:3">
      <c r="A7" s="5" t="s">
        <v>355</v>
      </c>
      <c r="B7" s="5" t="s">
        <v>356</v>
      </c>
      <c r="C7" s="5" t="s">
        <v>29</v>
      </c>
    </row>
    <row r="8" spans="1:3">
      <c r="A8" s="5" t="s">
        <v>369</v>
      </c>
      <c r="B8" s="5" t="s">
        <v>370</v>
      </c>
      <c r="C8" s="5" t="s">
        <v>29</v>
      </c>
    </row>
    <row r="9" spans="1:3">
      <c r="A9" s="5" t="s">
        <v>383</v>
      </c>
      <c r="B9" s="5" t="s">
        <v>384</v>
      </c>
      <c r="C9" s="5" t="s">
        <v>29</v>
      </c>
    </row>
    <row r="10" spans="1:3">
      <c r="A10" s="5" t="s">
        <v>397</v>
      </c>
      <c r="B10" s="5" t="s">
        <v>398</v>
      </c>
      <c r="C10" s="5" t="s">
        <v>29</v>
      </c>
    </row>
    <row r="11" spans="1:3">
      <c r="A11" s="5" t="s">
        <v>411</v>
      </c>
      <c r="B11" s="5" t="s">
        <v>412</v>
      </c>
      <c r="C11" s="5" t="s">
        <v>29</v>
      </c>
    </row>
    <row r="12" spans="1:3">
      <c r="A12" s="5" t="s">
        <v>425</v>
      </c>
      <c r="B12" s="5" t="s">
        <v>426</v>
      </c>
      <c r="C12" s="5" t="s">
        <v>29</v>
      </c>
    </row>
    <row r="13" spans="1:3">
      <c r="A13" s="5" t="s">
        <v>439</v>
      </c>
      <c r="B13" s="5" t="s">
        <v>440</v>
      </c>
      <c r="C13" s="5" t="s">
        <v>29</v>
      </c>
    </row>
    <row r="14" spans="1:3">
      <c r="A14" s="5" t="s">
        <v>453</v>
      </c>
      <c r="B14" s="5" t="s">
        <v>104</v>
      </c>
      <c r="C14" s="5" t="s">
        <v>29</v>
      </c>
    </row>
    <row r="15" spans="1:3">
      <c r="A15" s="5" t="s">
        <v>466</v>
      </c>
      <c r="B15" s="5" t="s">
        <v>467</v>
      </c>
      <c r="C15" s="5" t="s">
        <v>29</v>
      </c>
    </row>
    <row r="16" spans="1:3">
      <c r="A16" s="5" t="s">
        <v>480</v>
      </c>
      <c r="B16" s="5" t="s">
        <v>185</v>
      </c>
      <c r="C16" s="5" t="s">
        <v>29</v>
      </c>
    </row>
    <row r="17" spans="1:3">
      <c r="A17" s="5" t="s">
        <v>493</v>
      </c>
      <c r="B17" s="5" t="s">
        <v>494</v>
      </c>
      <c r="C17" s="5" t="s">
        <v>29</v>
      </c>
    </row>
    <row r="18" spans="1:3">
      <c r="A18" s="5" t="s">
        <v>507</v>
      </c>
      <c r="B18" s="5" t="s">
        <v>508</v>
      </c>
      <c r="C18" s="5" t="s">
        <v>29</v>
      </c>
    </row>
    <row r="19" spans="1:3">
      <c r="A19" s="5" t="s">
        <v>521</v>
      </c>
      <c r="B19" s="5" t="s">
        <v>522</v>
      </c>
      <c r="C19" s="5" t="s">
        <v>29</v>
      </c>
    </row>
    <row r="20" spans="1:3">
      <c r="A20" s="5" t="s">
        <v>535</v>
      </c>
      <c r="B20" s="5" t="s">
        <v>536</v>
      </c>
      <c r="C20" s="5" t="s">
        <v>29</v>
      </c>
    </row>
    <row r="21" spans="1:3">
      <c r="A21" s="5" t="s">
        <v>549</v>
      </c>
      <c r="B21" s="5" t="s">
        <v>269</v>
      </c>
      <c r="C21" s="5" t="s">
        <v>29</v>
      </c>
    </row>
    <row r="22" spans="1:3">
      <c r="A22" s="5" t="s">
        <v>562</v>
      </c>
      <c r="B22" s="5" t="s">
        <v>563</v>
      </c>
      <c r="C22" s="5" t="s">
        <v>29</v>
      </c>
    </row>
    <row r="23" spans="1:3">
      <c r="A23" s="5" t="s">
        <v>576</v>
      </c>
      <c r="B23" s="5" t="s">
        <v>577</v>
      </c>
      <c r="C23" s="5" t="s">
        <v>29</v>
      </c>
    </row>
    <row r="24" spans="1:3">
      <c r="A24" s="5" t="s">
        <v>589</v>
      </c>
      <c r="B24" s="5" t="s">
        <v>590</v>
      </c>
      <c r="C24" s="5" t="s">
        <v>29</v>
      </c>
    </row>
    <row r="25" spans="1:3">
      <c r="A25" s="5" t="s">
        <v>603</v>
      </c>
      <c r="B25" s="5" t="s">
        <v>604</v>
      </c>
      <c r="C25" s="5" t="s">
        <v>29</v>
      </c>
    </row>
    <row r="26" spans="1:3">
      <c r="A26" s="5" t="s">
        <v>617</v>
      </c>
      <c r="B26" s="5" t="s">
        <v>618</v>
      </c>
      <c r="C26" s="5" t="s">
        <v>29</v>
      </c>
    </row>
    <row r="27" spans="1:3">
      <c r="A27" s="5" t="s">
        <v>630</v>
      </c>
      <c r="B27" s="5" t="s">
        <v>631</v>
      </c>
      <c r="C27" s="5" t="s">
        <v>29</v>
      </c>
    </row>
    <row r="28" spans="1:3">
      <c r="A28" s="5" t="s">
        <v>644</v>
      </c>
      <c r="B28" s="5" t="s">
        <v>645</v>
      </c>
      <c r="C28" s="5" t="s">
        <v>29</v>
      </c>
    </row>
    <row r="29" spans="1:3">
      <c r="A29" s="5" t="s">
        <v>658</v>
      </c>
      <c r="B29" s="5" t="s">
        <v>659</v>
      </c>
      <c r="C29" s="5" t="s">
        <v>29</v>
      </c>
    </row>
    <row r="30" spans="1:3">
      <c r="A30" s="5" t="s">
        <v>672</v>
      </c>
      <c r="B30" s="5" t="s">
        <v>673</v>
      </c>
      <c r="C30" s="5" t="s">
        <v>29</v>
      </c>
    </row>
    <row r="31" spans="1:3">
      <c r="A31" s="5" t="s">
        <v>686</v>
      </c>
      <c r="B31" s="5" t="s">
        <v>687</v>
      </c>
      <c r="C31" s="5" t="s">
        <v>17</v>
      </c>
    </row>
    <row r="32" spans="1:3">
      <c r="A32" s="5" t="s">
        <v>701</v>
      </c>
      <c r="B32" s="5" t="s">
        <v>702</v>
      </c>
      <c r="C32" s="5" t="s">
        <v>17</v>
      </c>
    </row>
    <row r="33" spans="1:3">
      <c r="A33" s="5" t="s">
        <v>715</v>
      </c>
      <c r="B33" s="5" t="s">
        <v>716</v>
      </c>
      <c r="C33" s="5" t="s">
        <v>17</v>
      </c>
    </row>
    <row r="34" spans="1:3">
      <c r="A34" s="5" t="s">
        <v>729</v>
      </c>
      <c r="B34" s="5" t="s">
        <v>730</v>
      </c>
      <c r="C34" s="5" t="s">
        <v>17</v>
      </c>
    </row>
    <row r="35" spans="1:3">
      <c r="A35" s="5" t="s">
        <v>744</v>
      </c>
      <c r="B35" s="5" t="s">
        <v>745</v>
      </c>
      <c r="C35" s="5" t="s">
        <v>17</v>
      </c>
    </row>
    <row r="36" spans="1:3">
      <c r="A36" s="5" t="s">
        <v>757</v>
      </c>
      <c r="B36" s="5" t="s">
        <v>758</v>
      </c>
      <c r="C36" s="5" t="s">
        <v>17</v>
      </c>
    </row>
    <row r="37" spans="1:3">
      <c r="A37" s="5" t="s">
        <v>770</v>
      </c>
      <c r="B37" s="5" t="s">
        <v>771</v>
      </c>
      <c r="C37" s="5" t="s">
        <v>20</v>
      </c>
    </row>
    <row r="38" spans="1:3">
      <c r="A38" s="5" t="s">
        <v>784</v>
      </c>
      <c r="B38" s="5" t="s">
        <v>785</v>
      </c>
      <c r="C38" s="5" t="s">
        <v>20</v>
      </c>
    </row>
    <row r="39" spans="1:3">
      <c r="A39" s="5" t="s">
        <v>798</v>
      </c>
      <c r="B39" s="5" t="s">
        <v>799</v>
      </c>
      <c r="C39" s="5" t="s">
        <v>20</v>
      </c>
    </row>
    <row r="40" spans="1:3">
      <c r="A40" s="5" t="s">
        <v>812</v>
      </c>
      <c r="B40" s="5" t="s">
        <v>813</v>
      </c>
      <c r="C40" s="5" t="s">
        <v>20</v>
      </c>
    </row>
    <row r="41" spans="1:3">
      <c r="A41" s="5" t="s">
        <v>826</v>
      </c>
      <c r="B41" s="5" t="s">
        <v>827</v>
      </c>
      <c r="C41" s="5" t="s">
        <v>26</v>
      </c>
    </row>
    <row r="42" spans="1:3">
      <c r="A42" s="5" t="s">
        <v>841</v>
      </c>
      <c r="B42" s="5" t="s">
        <v>842</v>
      </c>
      <c r="C42" s="5" t="s">
        <v>26</v>
      </c>
    </row>
    <row r="43" spans="1:3">
      <c r="A43" s="5" t="s">
        <v>855</v>
      </c>
      <c r="B43" s="5" t="s">
        <v>856</v>
      </c>
      <c r="C43" s="5" t="s">
        <v>26</v>
      </c>
    </row>
    <row r="44" spans="1:3">
      <c r="A44" s="5" t="s">
        <v>868</v>
      </c>
      <c r="B44" s="5" t="s">
        <v>869</v>
      </c>
      <c r="C44" s="5" t="s">
        <v>26</v>
      </c>
    </row>
    <row r="45" spans="1:3">
      <c r="A45" s="5" t="s">
        <v>882</v>
      </c>
      <c r="B45" s="5" t="s">
        <v>883</v>
      </c>
      <c r="C45" s="5" t="s">
        <v>26</v>
      </c>
    </row>
    <row r="46" spans="1:3">
      <c r="A46" s="5" t="s">
        <v>895</v>
      </c>
      <c r="B46" s="5" t="s">
        <v>896</v>
      </c>
      <c r="C46" s="5" t="s">
        <v>26</v>
      </c>
    </row>
    <row r="47" spans="1:3">
      <c r="A47" s="5" t="s">
        <v>908</v>
      </c>
      <c r="B47" s="5" t="s">
        <v>909</v>
      </c>
      <c r="C47" s="5" t="s">
        <v>26</v>
      </c>
    </row>
    <row r="48" spans="1:3">
      <c r="A48" s="5" t="s">
        <v>921</v>
      </c>
      <c r="B48" s="5" t="s">
        <v>922</v>
      </c>
      <c r="C48" s="5" t="s">
        <v>13</v>
      </c>
    </row>
    <row r="49" spans="1:3">
      <c r="A49" s="5" t="s">
        <v>936</v>
      </c>
      <c r="B49" s="5" t="s">
        <v>937</v>
      </c>
      <c r="C49" s="5" t="s">
        <v>13</v>
      </c>
    </row>
    <row r="50" spans="1:3">
      <c r="A50" s="5" t="s">
        <v>950</v>
      </c>
      <c r="B50" s="5" t="s">
        <v>951</v>
      </c>
      <c r="C50" s="5" t="s">
        <v>13</v>
      </c>
    </row>
    <row r="51" spans="1:3">
      <c r="A51" s="5" t="s">
        <v>964</v>
      </c>
      <c r="B51" s="5" t="s">
        <v>965</v>
      </c>
      <c r="C51" s="5" t="s">
        <v>13</v>
      </c>
    </row>
    <row r="52" spans="1:3">
      <c r="A52" s="5" t="s">
        <v>978</v>
      </c>
      <c r="B52" s="5" t="s">
        <v>979</v>
      </c>
      <c r="C52" s="5" t="s">
        <v>13</v>
      </c>
    </row>
    <row r="53" spans="1:3">
      <c r="A53" s="5" t="s">
        <v>991</v>
      </c>
      <c r="B53" s="5" t="s">
        <v>992</v>
      </c>
      <c r="C53" s="5" t="s">
        <v>13</v>
      </c>
    </row>
    <row r="54" spans="1:3">
      <c r="A54" s="5" t="s">
        <v>1004</v>
      </c>
      <c r="B54" s="5" t="s">
        <v>1005</v>
      </c>
      <c r="C54" s="5" t="s">
        <v>13</v>
      </c>
    </row>
    <row r="55" spans="1:3">
      <c r="A55" s="5" t="s">
        <v>1016</v>
      </c>
      <c r="B55" s="5" t="s">
        <v>1017</v>
      </c>
      <c r="C55" s="5" t="s">
        <v>13</v>
      </c>
    </row>
    <row r="56" spans="1:3">
      <c r="A56" s="5" t="s">
        <v>1029</v>
      </c>
      <c r="B56" s="5" t="s">
        <v>1030</v>
      </c>
      <c r="C56" s="5" t="s">
        <v>23</v>
      </c>
    </row>
    <row r="57" spans="1:3">
      <c r="A57" s="5" t="s">
        <v>1044</v>
      </c>
      <c r="B57" s="5" t="s">
        <v>1045</v>
      </c>
      <c r="C57" s="5" t="s">
        <v>23</v>
      </c>
    </row>
    <row r="58" spans="1:3">
      <c r="A58" s="5" t="s">
        <v>1058</v>
      </c>
      <c r="B58" s="5" t="s">
        <v>1059</v>
      </c>
      <c r="C58" s="5" t="s">
        <v>23</v>
      </c>
    </row>
    <row r="59" spans="1:3">
      <c r="A59" s="5" t="s">
        <v>1072</v>
      </c>
      <c r="B59" s="5" t="s">
        <v>1073</v>
      </c>
      <c r="C59" s="5" t="s">
        <v>23</v>
      </c>
    </row>
    <row r="60" spans="1:3">
      <c r="A60" s="5" t="s">
        <v>1086</v>
      </c>
      <c r="B60" s="5" t="s">
        <v>1087</v>
      </c>
      <c r="C60" s="5" t="s">
        <v>23</v>
      </c>
    </row>
    <row r="61" spans="1:3">
      <c r="A61" s="5" t="s">
        <v>1099</v>
      </c>
      <c r="B61" s="5" t="s">
        <v>1100</v>
      </c>
      <c r="C61" s="5" t="s">
        <v>23</v>
      </c>
    </row>
    <row r="62" spans="1:3">
      <c r="A62" s="5" t="s">
        <v>1112</v>
      </c>
      <c r="B62" s="5" t="s">
        <v>1113</v>
      </c>
      <c r="C62" s="5" t="s">
        <v>15</v>
      </c>
    </row>
    <row r="63" spans="1:3">
      <c r="A63" s="5" t="s">
        <v>1127</v>
      </c>
      <c r="B63" s="5" t="s">
        <v>1128</v>
      </c>
      <c r="C63" s="5" t="s">
        <v>15</v>
      </c>
    </row>
    <row r="64" spans="1:3">
      <c r="A64" s="5" t="s">
        <v>1141</v>
      </c>
      <c r="B64" s="5" t="s">
        <v>1142</v>
      </c>
      <c r="C64" s="5" t="s">
        <v>15</v>
      </c>
    </row>
    <row r="65" spans="1:3">
      <c r="A65" s="5" t="s">
        <v>1155</v>
      </c>
      <c r="B65" s="5" t="s">
        <v>1156</v>
      </c>
      <c r="C65" s="5" t="s">
        <v>15</v>
      </c>
    </row>
    <row r="66" spans="1:3">
      <c r="A66" s="5" t="s">
        <v>1169</v>
      </c>
      <c r="B66" s="5" t="s">
        <v>1170</v>
      </c>
      <c r="C66" s="5" t="s">
        <v>15</v>
      </c>
    </row>
    <row r="67" spans="1:3">
      <c r="A67" s="5" t="s">
        <v>1182</v>
      </c>
      <c r="B67" s="5" t="s">
        <v>1183</v>
      </c>
      <c r="C67" s="5" t="s">
        <v>15</v>
      </c>
    </row>
    <row r="68" spans="1:3">
      <c r="A68" s="5" t="s">
        <v>1195</v>
      </c>
      <c r="B68" s="5" t="s">
        <v>1196</v>
      </c>
      <c r="C68" s="5" t="s">
        <v>15</v>
      </c>
    </row>
    <row r="69" spans="1:3">
      <c r="A69" s="5" t="s">
        <v>1208</v>
      </c>
      <c r="B69" s="5" t="s">
        <v>1209</v>
      </c>
      <c r="C69" s="5" t="s">
        <v>11</v>
      </c>
    </row>
    <row r="70" spans="1:3">
      <c r="A70" s="5" t="s">
        <v>1223</v>
      </c>
      <c r="B70" s="5" t="s">
        <v>1224</v>
      </c>
      <c r="C70" s="5" t="s">
        <v>11</v>
      </c>
    </row>
    <row r="71" spans="1:3">
      <c r="A71" s="5" t="s">
        <v>1237</v>
      </c>
      <c r="B71" s="5" t="s">
        <v>1238</v>
      </c>
      <c r="C71" s="5" t="s">
        <v>11</v>
      </c>
    </row>
    <row r="72" spans="1:3">
      <c r="A72" s="5" t="s">
        <v>1251</v>
      </c>
      <c r="B72" s="5" t="s">
        <v>1252</v>
      </c>
      <c r="C72" s="5" t="s">
        <v>11</v>
      </c>
    </row>
    <row r="73" spans="1:3">
      <c r="A73" s="5" t="s">
        <v>1265</v>
      </c>
      <c r="B73" s="5" t="s">
        <v>1266</v>
      </c>
      <c r="C73" s="5" t="s">
        <v>11</v>
      </c>
    </row>
    <row r="74" spans="1:3">
      <c r="A74" s="5" t="s">
        <v>1278</v>
      </c>
      <c r="B74" s="5" t="s">
        <v>1279</v>
      </c>
      <c r="C74" s="5" t="s">
        <v>11</v>
      </c>
    </row>
    <row r="75" spans="1:3">
      <c r="A75" s="5" t="s">
        <v>1291</v>
      </c>
      <c r="B75" s="5" t="s">
        <v>1292</v>
      </c>
      <c r="C75" s="5" t="s">
        <v>11</v>
      </c>
    </row>
    <row r="76" spans="1:3">
      <c r="A76" s="5" t="s">
        <v>1304</v>
      </c>
      <c r="B76" s="5" t="s">
        <v>1305</v>
      </c>
      <c r="C76" s="5" t="s">
        <v>32</v>
      </c>
    </row>
    <row r="77" spans="1:3">
      <c r="A77" s="5" t="s">
        <v>1319</v>
      </c>
      <c r="B77" s="5" t="s">
        <v>1320</v>
      </c>
      <c r="C77" s="5" t="s">
        <v>32</v>
      </c>
    </row>
    <row r="78" spans="1:3">
      <c r="A78" s="5" t="s">
        <v>1333</v>
      </c>
      <c r="B78" s="5" t="s">
        <v>1334</v>
      </c>
      <c r="C78" s="5" t="s">
        <v>32</v>
      </c>
    </row>
    <row r="79" spans="1:3">
      <c r="A79" s="5" t="s">
        <v>1347</v>
      </c>
      <c r="B79" s="5" t="s">
        <v>1348</v>
      </c>
      <c r="C79" s="5" t="s">
        <v>32</v>
      </c>
    </row>
    <row r="80" spans="1:3">
      <c r="A80" s="5" t="s">
        <v>1361</v>
      </c>
      <c r="B80" s="5" t="s">
        <v>1362</v>
      </c>
      <c r="C80" s="5" t="s">
        <v>32</v>
      </c>
    </row>
    <row r="81" spans="1:3">
      <c r="A81" s="5" t="s">
        <v>1375</v>
      </c>
      <c r="B81" s="5" t="s">
        <v>1376</v>
      </c>
      <c r="C81" s="5" t="s">
        <v>16</v>
      </c>
    </row>
    <row r="82" spans="1:3">
      <c r="A82" s="5" t="s">
        <v>1390</v>
      </c>
      <c r="B82" s="5" t="s">
        <v>1391</v>
      </c>
      <c r="C82" s="5" t="s">
        <v>16</v>
      </c>
    </row>
    <row r="83" spans="1:3">
      <c r="A83" s="5" t="s">
        <v>1404</v>
      </c>
      <c r="B83" s="5" t="s">
        <v>1405</v>
      </c>
      <c r="C83" s="5" t="s">
        <v>16</v>
      </c>
    </row>
    <row r="84" spans="1:3">
      <c r="A84" s="5" t="s">
        <v>1418</v>
      </c>
      <c r="B84" s="5" t="s">
        <v>1419</v>
      </c>
      <c r="C84" s="5" t="s">
        <v>16</v>
      </c>
    </row>
    <row r="85" spans="1:3">
      <c r="A85" s="5" t="s">
        <v>1432</v>
      </c>
      <c r="B85" s="5" t="s">
        <v>1183</v>
      </c>
      <c r="C85" s="5" t="s">
        <v>16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Views>
    <sheetView tabSelected="1" topLeftCell="B71" workbookViewId="0">
      <selection activeCell="E87" sqref="E87"/>
    </sheetView>
  </sheetViews>
  <sheetFormatPr baseColWidth="10" defaultColWidth="8.796875" defaultRowHeight="13.8"/>
  <cols>
    <col min="1" max="2" width="24" customWidth="1"/>
    <col min="3" max="3" width="28" customWidth="1"/>
    <col min="4" max="4" width="85" customWidth="1"/>
    <col min="5" max="5" width="34" customWidth="1"/>
  </cols>
  <sheetData>
    <row r="1" spans="1:5" ht="22.35" customHeight="1">
      <c r="A1" s="8" t="s">
        <v>3152</v>
      </c>
      <c r="B1" s="8"/>
      <c r="C1" s="8"/>
      <c r="D1" s="8"/>
      <c r="E1" s="8"/>
    </row>
    <row r="2" spans="1:5" ht="27.15" customHeight="1">
      <c r="A2" s="9" t="s">
        <v>3153</v>
      </c>
      <c r="B2" s="9"/>
      <c r="C2" s="9"/>
      <c r="D2" s="9"/>
      <c r="E2" s="9"/>
    </row>
    <row r="4" spans="1:5" ht="22.35" customHeight="1">
      <c r="A4" s="4" t="s">
        <v>66</v>
      </c>
      <c r="B4" s="4" t="s">
        <v>1473</v>
      </c>
      <c r="C4" s="4" t="s">
        <v>3154</v>
      </c>
      <c r="D4" s="4" t="s">
        <v>3155</v>
      </c>
      <c r="E4" s="4" t="s">
        <v>3156</v>
      </c>
    </row>
    <row r="5" spans="1:5">
      <c r="A5" s="5" t="s">
        <v>11</v>
      </c>
      <c r="B5" s="5" t="s">
        <v>3157</v>
      </c>
      <c r="C5" s="5" t="s">
        <v>3158</v>
      </c>
      <c r="D5" s="5" t="s">
        <v>3159</v>
      </c>
      <c r="E5" s="5"/>
    </row>
    <row r="6" spans="1:5" ht="27.6">
      <c r="A6" s="5" t="s">
        <v>11</v>
      </c>
      <c r="B6" s="5" t="s">
        <v>3157</v>
      </c>
      <c r="C6" s="5" t="s">
        <v>3160</v>
      </c>
      <c r="D6" s="5" t="s">
        <v>3161</v>
      </c>
      <c r="E6" s="5"/>
    </row>
    <row r="7" spans="1:5">
      <c r="A7" s="5" t="s">
        <v>11</v>
      </c>
      <c r="B7" s="5" t="s">
        <v>3157</v>
      </c>
      <c r="C7" s="5" t="s">
        <v>283</v>
      </c>
      <c r="D7" s="5" t="s">
        <v>3162</v>
      </c>
      <c r="E7" s="5"/>
    </row>
    <row r="8" spans="1:5">
      <c r="A8" s="5" t="s">
        <v>11</v>
      </c>
      <c r="B8" s="5" t="s">
        <v>3157</v>
      </c>
      <c r="C8" s="5" t="s">
        <v>3163</v>
      </c>
      <c r="D8" s="5" t="s">
        <v>3164</v>
      </c>
      <c r="E8" s="5"/>
    </row>
    <row r="9" spans="1:5">
      <c r="A9" s="5" t="s">
        <v>11</v>
      </c>
      <c r="B9" s="5" t="s">
        <v>3157</v>
      </c>
      <c r="C9" s="5" t="s">
        <v>3165</v>
      </c>
      <c r="D9" s="5" t="s">
        <v>3166</v>
      </c>
      <c r="E9" s="5"/>
    </row>
    <row r="10" spans="1:5">
      <c r="A10" s="5" t="s">
        <v>13</v>
      </c>
      <c r="B10" s="5" t="s">
        <v>3157</v>
      </c>
      <c r="C10" s="5" t="s">
        <v>3158</v>
      </c>
      <c r="D10" s="5" t="s">
        <v>3167</v>
      </c>
      <c r="E10" s="5"/>
    </row>
    <row r="11" spans="1:5" ht="27.6">
      <c r="A11" s="5" t="s">
        <v>13</v>
      </c>
      <c r="B11" s="5" t="s">
        <v>3157</v>
      </c>
      <c r="C11" s="5" t="s">
        <v>3160</v>
      </c>
      <c r="D11" s="5" t="s">
        <v>3168</v>
      </c>
      <c r="E11" s="5"/>
    </row>
    <row r="12" spans="1:5">
      <c r="A12" s="5" t="s">
        <v>13</v>
      </c>
      <c r="B12" s="5" t="s">
        <v>3157</v>
      </c>
      <c r="C12" s="5" t="s">
        <v>283</v>
      </c>
      <c r="D12" s="5" t="s">
        <v>3162</v>
      </c>
      <c r="E12" s="5"/>
    </row>
    <row r="13" spans="1:5">
      <c r="A13" s="5" t="s">
        <v>13</v>
      </c>
      <c r="B13" s="5" t="s">
        <v>3157</v>
      </c>
      <c r="C13" s="5" t="s">
        <v>3163</v>
      </c>
      <c r="D13" s="5" t="s">
        <v>3164</v>
      </c>
      <c r="E13" s="5"/>
    </row>
    <row r="14" spans="1:5">
      <c r="A14" s="5" t="s">
        <v>13</v>
      </c>
      <c r="B14" s="5" t="s">
        <v>3157</v>
      </c>
      <c r="C14" s="5" t="s">
        <v>3165</v>
      </c>
      <c r="D14" s="5" t="s">
        <v>3166</v>
      </c>
      <c r="E14" s="5"/>
    </row>
    <row r="15" spans="1:5">
      <c r="A15" s="5" t="s">
        <v>15</v>
      </c>
      <c r="B15" s="5" t="s">
        <v>3157</v>
      </c>
      <c r="C15" s="5" t="s">
        <v>3158</v>
      </c>
      <c r="D15" s="5" t="s">
        <v>3169</v>
      </c>
      <c r="E15" s="5"/>
    </row>
    <row r="16" spans="1:5" ht="27.6">
      <c r="A16" s="5" t="s">
        <v>15</v>
      </c>
      <c r="B16" s="5" t="s">
        <v>3157</v>
      </c>
      <c r="C16" s="5" t="s">
        <v>3160</v>
      </c>
      <c r="D16" s="5" t="s">
        <v>3170</v>
      </c>
      <c r="E16" s="5"/>
    </row>
    <row r="17" spans="1:5">
      <c r="A17" s="5" t="s">
        <v>15</v>
      </c>
      <c r="B17" s="5" t="s">
        <v>3157</v>
      </c>
      <c r="C17" s="5" t="s">
        <v>283</v>
      </c>
      <c r="D17" s="5" t="s">
        <v>3162</v>
      </c>
      <c r="E17" s="5"/>
    </row>
    <row r="18" spans="1:5">
      <c r="A18" s="5" t="s">
        <v>15</v>
      </c>
      <c r="B18" s="5" t="s">
        <v>3157</v>
      </c>
      <c r="C18" s="5" t="s">
        <v>3163</v>
      </c>
      <c r="D18" s="5" t="s">
        <v>3164</v>
      </c>
      <c r="E18" s="5"/>
    </row>
    <row r="19" spans="1:5">
      <c r="A19" s="5" t="s">
        <v>15</v>
      </c>
      <c r="B19" s="5" t="s">
        <v>3157</v>
      </c>
      <c r="C19" s="5" t="s">
        <v>3165</v>
      </c>
      <c r="D19" s="5" t="s">
        <v>3166</v>
      </c>
      <c r="E19" s="5"/>
    </row>
    <row r="20" spans="1:5">
      <c r="A20" s="5" t="s">
        <v>16</v>
      </c>
      <c r="B20" s="5" t="s">
        <v>3157</v>
      </c>
      <c r="C20" s="5" t="s">
        <v>3158</v>
      </c>
      <c r="D20" s="5" t="s">
        <v>2408</v>
      </c>
      <c r="E20" s="5"/>
    </row>
    <row r="21" spans="1:5" ht="27.6">
      <c r="A21" s="5" t="s">
        <v>16</v>
      </c>
      <c r="B21" s="5" t="s">
        <v>3157</v>
      </c>
      <c r="C21" s="5" t="s">
        <v>3160</v>
      </c>
      <c r="D21" s="5" t="s">
        <v>3171</v>
      </c>
      <c r="E21" s="5"/>
    </row>
    <row r="22" spans="1:5">
      <c r="A22" s="5" t="s">
        <v>16</v>
      </c>
      <c r="B22" s="5" t="s">
        <v>3157</v>
      </c>
      <c r="C22" s="5" t="s">
        <v>283</v>
      </c>
      <c r="D22" s="5" t="s">
        <v>3162</v>
      </c>
      <c r="E22" s="5"/>
    </row>
    <row r="23" spans="1:5">
      <c r="A23" s="5" t="s">
        <v>16</v>
      </c>
      <c r="B23" s="5" t="s">
        <v>3157</v>
      </c>
      <c r="C23" s="5" t="s">
        <v>3163</v>
      </c>
      <c r="D23" s="5" t="s">
        <v>3164</v>
      </c>
      <c r="E23" s="5"/>
    </row>
    <row r="24" spans="1:5">
      <c r="A24" s="5" t="s">
        <v>16</v>
      </c>
      <c r="B24" s="5" t="s">
        <v>3157</v>
      </c>
      <c r="C24" s="5" t="s">
        <v>3165</v>
      </c>
      <c r="D24" s="5" t="s">
        <v>3166</v>
      </c>
      <c r="E24" s="5"/>
    </row>
    <row r="25" spans="1:5">
      <c r="A25" s="5" t="s">
        <v>17</v>
      </c>
      <c r="B25" s="5" t="s">
        <v>3157</v>
      </c>
      <c r="C25" s="5" t="s">
        <v>3158</v>
      </c>
      <c r="D25" s="5" t="s">
        <v>3172</v>
      </c>
      <c r="E25" s="5"/>
    </row>
    <row r="26" spans="1:5">
      <c r="A26" s="5" t="s">
        <v>17</v>
      </c>
      <c r="B26" s="5" t="s">
        <v>3157</v>
      </c>
      <c r="C26" s="5" t="s">
        <v>3160</v>
      </c>
      <c r="D26" s="5" t="s">
        <v>3173</v>
      </c>
      <c r="E26" s="5"/>
    </row>
    <row r="27" spans="1:5">
      <c r="A27" s="5" t="s">
        <v>17</v>
      </c>
      <c r="B27" s="5" t="s">
        <v>3157</v>
      </c>
      <c r="C27" s="5" t="s">
        <v>283</v>
      </c>
      <c r="D27" s="5" t="s">
        <v>3162</v>
      </c>
      <c r="E27" s="5"/>
    </row>
    <row r="28" spans="1:5">
      <c r="A28" s="5" t="s">
        <v>17</v>
      </c>
      <c r="B28" s="5" t="s">
        <v>3157</v>
      </c>
      <c r="C28" s="5" t="s">
        <v>3163</v>
      </c>
      <c r="D28" s="5" t="s">
        <v>3164</v>
      </c>
      <c r="E28" s="5"/>
    </row>
    <row r="29" spans="1:5">
      <c r="A29" s="5" t="s">
        <v>17</v>
      </c>
      <c r="B29" s="5" t="s">
        <v>3157</v>
      </c>
      <c r="C29" s="5" t="s">
        <v>3165</v>
      </c>
      <c r="D29" s="5" t="s">
        <v>3166</v>
      </c>
      <c r="E29" s="5"/>
    </row>
    <row r="30" spans="1:5">
      <c r="A30" s="5" t="s">
        <v>20</v>
      </c>
      <c r="B30" s="5" t="s">
        <v>3157</v>
      </c>
      <c r="C30" s="5" t="s">
        <v>3158</v>
      </c>
      <c r="D30" s="5" t="s">
        <v>3174</v>
      </c>
      <c r="E30" s="5"/>
    </row>
    <row r="31" spans="1:5" ht="27.6">
      <c r="A31" s="5" t="s">
        <v>20</v>
      </c>
      <c r="B31" s="5" t="s">
        <v>3157</v>
      </c>
      <c r="C31" s="5" t="s">
        <v>3160</v>
      </c>
      <c r="D31" s="5" t="s">
        <v>3175</v>
      </c>
      <c r="E31" s="5"/>
    </row>
    <row r="32" spans="1:5">
      <c r="A32" s="5" t="s">
        <v>20</v>
      </c>
      <c r="B32" s="5" t="s">
        <v>3157</v>
      </c>
      <c r="C32" s="5" t="s">
        <v>283</v>
      </c>
      <c r="D32" s="5" t="s">
        <v>3162</v>
      </c>
      <c r="E32" s="5"/>
    </row>
    <row r="33" spans="1:5">
      <c r="A33" s="5" t="s">
        <v>20</v>
      </c>
      <c r="B33" s="5" t="s">
        <v>3157</v>
      </c>
      <c r="C33" s="5" t="s">
        <v>3163</v>
      </c>
      <c r="D33" s="5" t="s">
        <v>3164</v>
      </c>
      <c r="E33" s="5"/>
    </row>
    <row r="34" spans="1:5">
      <c r="A34" s="5" t="s">
        <v>20</v>
      </c>
      <c r="B34" s="5" t="s">
        <v>3157</v>
      </c>
      <c r="C34" s="5" t="s">
        <v>3165</v>
      </c>
      <c r="D34" s="5" t="s">
        <v>3166</v>
      </c>
      <c r="E34" s="5"/>
    </row>
    <row r="35" spans="1:5">
      <c r="A35" s="5" t="s">
        <v>23</v>
      </c>
      <c r="B35" s="5" t="s">
        <v>3157</v>
      </c>
      <c r="C35" s="5" t="s">
        <v>3158</v>
      </c>
      <c r="D35" s="5" t="s">
        <v>2415</v>
      </c>
      <c r="E35" s="5"/>
    </row>
    <row r="36" spans="1:5" ht="27.6">
      <c r="A36" s="5" t="s">
        <v>23</v>
      </c>
      <c r="B36" s="5" t="s">
        <v>3157</v>
      </c>
      <c r="C36" s="5" t="s">
        <v>3160</v>
      </c>
      <c r="D36" s="5" t="s">
        <v>3176</v>
      </c>
      <c r="E36" s="5"/>
    </row>
    <row r="37" spans="1:5">
      <c r="A37" s="5" t="s">
        <v>23</v>
      </c>
      <c r="B37" s="5" t="s">
        <v>3157</v>
      </c>
      <c r="C37" s="5" t="s">
        <v>283</v>
      </c>
      <c r="D37" s="5" t="s">
        <v>3162</v>
      </c>
      <c r="E37" s="5"/>
    </row>
    <row r="38" spans="1:5">
      <c r="A38" s="5" t="s">
        <v>23</v>
      </c>
      <c r="B38" s="5" t="s">
        <v>3157</v>
      </c>
      <c r="C38" s="5" t="s">
        <v>3163</v>
      </c>
      <c r="D38" s="5" t="s">
        <v>3164</v>
      </c>
      <c r="E38" s="5"/>
    </row>
    <row r="39" spans="1:5">
      <c r="A39" s="5" t="s">
        <v>23</v>
      </c>
      <c r="B39" s="5" t="s">
        <v>3157</v>
      </c>
      <c r="C39" s="5" t="s">
        <v>3165</v>
      </c>
      <c r="D39" s="5" t="s">
        <v>3166</v>
      </c>
      <c r="E39" s="5"/>
    </row>
    <row r="40" spans="1:5">
      <c r="A40" s="5" t="s">
        <v>26</v>
      </c>
      <c r="B40" s="5" t="s">
        <v>3157</v>
      </c>
      <c r="C40" s="5" t="s">
        <v>3158</v>
      </c>
      <c r="D40" s="5" t="s">
        <v>2418</v>
      </c>
      <c r="E40" s="5"/>
    </row>
    <row r="41" spans="1:5" ht="27.6">
      <c r="A41" s="5" t="s">
        <v>26</v>
      </c>
      <c r="B41" s="5" t="s">
        <v>3157</v>
      </c>
      <c r="C41" s="5" t="s">
        <v>3160</v>
      </c>
      <c r="D41" s="5" t="s">
        <v>3177</v>
      </c>
      <c r="E41" s="5"/>
    </row>
    <row r="42" spans="1:5">
      <c r="A42" s="5" t="s">
        <v>26</v>
      </c>
      <c r="B42" s="5" t="s">
        <v>3157</v>
      </c>
      <c r="C42" s="5" t="s">
        <v>283</v>
      </c>
      <c r="D42" s="5" t="s">
        <v>3162</v>
      </c>
      <c r="E42" s="5"/>
    </row>
    <row r="43" spans="1:5">
      <c r="A43" s="5" t="s">
        <v>26</v>
      </c>
      <c r="B43" s="5" t="s">
        <v>3157</v>
      </c>
      <c r="C43" s="5" t="s">
        <v>3163</v>
      </c>
      <c r="D43" s="5" t="s">
        <v>3164</v>
      </c>
      <c r="E43" s="5"/>
    </row>
    <row r="44" spans="1:5">
      <c r="A44" s="5" t="s">
        <v>26</v>
      </c>
      <c r="B44" s="5" t="s">
        <v>3157</v>
      </c>
      <c r="C44" s="5" t="s">
        <v>3165</v>
      </c>
      <c r="D44" s="5" t="s">
        <v>3166</v>
      </c>
      <c r="E44" s="5"/>
    </row>
    <row r="45" spans="1:5">
      <c r="A45" s="5" t="s">
        <v>11</v>
      </c>
      <c r="B45" s="5" t="s">
        <v>3178</v>
      </c>
      <c r="C45" s="5" t="s">
        <v>1208</v>
      </c>
      <c r="D45" s="5" t="s">
        <v>1209</v>
      </c>
      <c r="E45" s="5" t="s">
        <v>3179</v>
      </c>
    </row>
    <row r="46" spans="1:5">
      <c r="A46" s="5" t="s">
        <v>11</v>
      </c>
      <c r="B46" s="5" t="s">
        <v>3178</v>
      </c>
      <c r="C46" s="5" t="s">
        <v>1223</v>
      </c>
      <c r="D46" s="5" t="s">
        <v>1224</v>
      </c>
      <c r="E46" s="5" t="s">
        <v>3179</v>
      </c>
    </row>
    <row r="47" spans="1:5">
      <c r="A47" s="5" t="s">
        <v>11</v>
      </c>
      <c r="B47" s="5" t="s">
        <v>3178</v>
      </c>
      <c r="C47" s="5" t="s">
        <v>1237</v>
      </c>
      <c r="D47" s="5" t="s">
        <v>1238</v>
      </c>
      <c r="E47" s="5" t="s">
        <v>3179</v>
      </c>
    </row>
    <row r="48" spans="1:5">
      <c r="A48" s="5" t="s">
        <v>11</v>
      </c>
      <c r="B48" s="5" t="s">
        <v>3178</v>
      </c>
      <c r="C48" s="5" t="s">
        <v>1251</v>
      </c>
      <c r="D48" s="5" t="s">
        <v>1252</v>
      </c>
      <c r="E48" s="5" t="s">
        <v>3179</v>
      </c>
    </row>
    <row r="49" spans="1:5">
      <c r="A49" s="5" t="s">
        <v>11</v>
      </c>
      <c r="B49" s="5" t="s">
        <v>3178</v>
      </c>
      <c r="C49" s="5" t="s">
        <v>1265</v>
      </c>
      <c r="D49" s="5" t="s">
        <v>1266</v>
      </c>
      <c r="E49" s="5" t="s">
        <v>3179</v>
      </c>
    </row>
    <row r="50" spans="1:5">
      <c r="A50" s="5" t="s">
        <v>11</v>
      </c>
      <c r="B50" s="5" t="s">
        <v>3178</v>
      </c>
      <c r="C50" s="5" t="s">
        <v>1278</v>
      </c>
      <c r="D50" s="5" t="s">
        <v>1279</v>
      </c>
      <c r="E50" s="5" t="s">
        <v>3179</v>
      </c>
    </row>
    <row r="51" spans="1:5">
      <c r="A51" s="5" t="s">
        <v>11</v>
      </c>
      <c r="B51" s="5" t="s">
        <v>3178</v>
      </c>
      <c r="C51" s="5" t="s">
        <v>1291</v>
      </c>
      <c r="D51" s="5" t="s">
        <v>1292</v>
      </c>
      <c r="E51" s="5" t="s">
        <v>3179</v>
      </c>
    </row>
    <row r="52" spans="1:5" ht="27.6">
      <c r="A52" s="5" t="s">
        <v>11</v>
      </c>
      <c r="B52" s="5" t="s">
        <v>3178</v>
      </c>
      <c r="C52" s="5" t="s">
        <v>369</v>
      </c>
      <c r="D52" s="5" t="s">
        <v>370</v>
      </c>
      <c r="E52" s="5" t="s">
        <v>3180</v>
      </c>
    </row>
    <row r="53" spans="1:5" ht="27.6">
      <c r="A53" s="5" t="s">
        <v>11</v>
      </c>
      <c r="B53" s="5" t="s">
        <v>3178</v>
      </c>
      <c r="C53" s="5" t="s">
        <v>411</v>
      </c>
      <c r="D53" s="5" t="s">
        <v>412</v>
      </c>
      <c r="E53" s="5" t="s">
        <v>3180</v>
      </c>
    </row>
    <row r="54" spans="1:5" ht="27.6">
      <c r="A54" s="5" t="s">
        <v>11</v>
      </c>
      <c r="B54" s="5" t="s">
        <v>3178</v>
      </c>
      <c r="C54" s="5" t="s">
        <v>439</v>
      </c>
      <c r="D54" s="5" t="s">
        <v>440</v>
      </c>
      <c r="E54" s="5" t="s">
        <v>3180</v>
      </c>
    </row>
    <row r="55" spans="1:5" ht="27.6">
      <c r="A55" s="5" t="s">
        <v>11</v>
      </c>
      <c r="B55" s="5" t="s">
        <v>3178</v>
      </c>
      <c r="C55" s="5" t="s">
        <v>453</v>
      </c>
      <c r="D55" s="5" t="s">
        <v>104</v>
      </c>
      <c r="E55" s="5" t="s">
        <v>3180</v>
      </c>
    </row>
    <row r="56" spans="1:5" ht="27.6">
      <c r="A56" s="5" t="s">
        <v>11</v>
      </c>
      <c r="B56" s="5" t="s">
        <v>3178</v>
      </c>
      <c r="C56" s="5" t="s">
        <v>466</v>
      </c>
      <c r="D56" s="5" t="s">
        <v>467</v>
      </c>
      <c r="E56" s="5" t="s">
        <v>3180</v>
      </c>
    </row>
    <row r="57" spans="1:5" ht="27.6">
      <c r="A57" s="5" t="s">
        <v>11</v>
      </c>
      <c r="B57" s="5" t="s">
        <v>3178</v>
      </c>
      <c r="C57" s="5" t="s">
        <v>549</v>
      </c>
      <c r="D57" s="5" t="s">
        <v>269</v>
      </c>
      <c r="E57" s="5" t="s">
        <v>3180</v>
      </c>
    </row>
    <row r="58" spans="1:5" ht="27.6">
      <c r="A58" s="5" t="s">
        <v>11</v>
      </c>
      <c r="B58" s="5" t="s">
        <v>3178</v>
      </c>
      <c r="C58" s="5" t="s">
        <v>603</v>
      </c>
      <c r="D58" s="5" t="s">
        <v>604</v>
      </c>
      <c r="E58" s="5" t="s">
        <v>3180</v>
      </c>
    </row>
    <row r="59" spans="1:5" ht="27.6">
      <c r="A59" s="5" t="s">
        <v>11</v>
      </c>
      <c r="B59" s="5" t="s">
        <v>3178</v>
      </c>
      <c r="C59" s="5" t="s">
        <v>617</v>
      </c>
      <c r="D59" s="5" t="s">
        <v>618</v>
      </c>
      <c r="E59" s="5" t="s">
        <v>3180</v>
      </c>
    </row>
    <row r="60" spans="1:5" ht="27.6">
      <c r="A60" s="5" t="s">
        <v>11</v>
      </c>
      <c r="B60" s="5" t="s">
        <v>3178</v>
      </c>
      <c r="C60" s="5" t="s">
        <v>644</v>
      </c>
      <c r="D60" s="5" t="s">
        <v>645</v>
      </c>
      <c r="E60" s="5" t="s">
        <v>3180</v>
      </c>
    </row>
    <row r="61" spans="1:5" ht="27.6">
      <c r="A61" s="5" t="s">
        <v>11</v>
      </c>
      <c r="B61" s="5" t="s">
        <v>3178</v>
      </c>
      <c r="C61" s="5" t="s">
        <v>672</v>
      </c>
      <c r="D61" s="5" t="s">
        <v>673</v>
      </c>
      <c r="E61" s="5" t="s">
        <v>3180</v>
      </c>
    </row>
    <row r="62" spans="1:5">
      <c r="A62" s="5" t="s">
        <v>13</v>
      </c>
      <c r="B62" s="5" t="s">
        <v>3178</v>
      </c>
      <c r="C62" s="5" t="s">
        <v>921</v>
      </c>
      <c r="D62" s="5" t="s">
        <v>922</v>
      </c>
      <c r="E62" s="5" t="s">
        <v>3179</v>
      </c>
    </row>
    <row r="63" spans="1:5">
      <c r="A63" s="5" t="s">
        <v>13</v>
      </c>
      <c r="B63" s="5" t="s">
        <v>3178</v>
      </c>
      <c r="C63" s="5" t="s">
        <v>936</v>
      </c>
      <c r="D63" s="5" t="s">
        <v>937</v>
      </c>
      <c r="E63" s="5" t="s">
        <v>3179</v>
      </c>
    </row>
    <row r="64" spans="1:5">
      <c r="A64" s="5" t="s">
        <v>13</v>
      </c>
      <c r="B64" s="5" t="s">
        <v>3178</v>
      </c>
      <c r="C64" s="5" t="s">
        <v>950</v>
      </c>
      <c r="D64" s="5" t="s">
        <v>951</v>
      </c>
      <c r="E64" s="5" t="s">
        <v>3179</v>
      </c>
    </row>
    <row r="65" spans="1:5">
      <c r="A65" s="5" t="s">
        <v>13</v>
      </c>
      <c r="B65" s="5" t="s">
        <v>3178</v>
      </c>
      <c r="C65" s="5" t="s">
        <v>964</v>
      </c>
      <c r="D65" s="5" t="s">
        <v>965</v>
      </c>
      <c r="E65" s="5" t="s">
        <v>3179</v>
      </c>
    </row>
    <row r="66" spans="1:5">
      <c r="A66" s="5" t="s">
        <v>13</v>
      </c>
      <c r="B66" s="5" t="s">
        <v>3178</v>
      </c>
      <c r="C66" s="5" t="s">
        <v>978</v>
      </c>
      <c r="D66" s="5" t="s">
        <v>979</v>
      </c>
      <c r="E66" s="5" t="s">
        <v>3179</v>
      </c>
    </row>
    <row r="67" spans="1:5">
      <c r="A67" s="5" t="s">
        <v>13</v>
      </c>
      <c r="B67" s="5" t="s">
        <v>3178</v>
      </c>
      <c r="C67" s="5" t="s">
        <v>991</v>
      </c>
      <c r="D67" s="5" t="s">
        <v>992</v>
      </c>
      <c r="E67" s="5" t="s">
        <v>3179</v>
      </c>
    </row>
    <row r="68" spans="1:5">
      <c r="A68" s="5" t="s">
        <v>13</v>
      </c>
      <c r="B68" s="5" t="s">
        <v>3178</v>
      </c>
      <c r="C68" s="5" t="s">
        <v>1004</v>
      </c>
      <c r="D68" s="5" t="s">
        <v>1005</v>
      </c>
      <c r="E68" s="5" t="s">
        <v>3179</v>
      </c>
    </row>
    <row r="69" spans="1:5">
      <c r="A69" s="5" t="s">
        <v>13</v>
      </c>
      <c r="B69" s="5" t="s">
        <v>3178</v>
      </c>
      <c r="C69" s="5" t="s">
        <v>1016</v>
      </c>
      <c r="D69" s="5" t="s">
        <v>1017</v>
      </c>
      <c r="E69" s="5" t="s">
        <v>3179</v>
      </c>
    </row>
    <row r="70" spans="1:5" ht="27.6">
      <c r="A70" s="5" t="s">
        <v>13</v>
      </c>
      <c r="B70" s="5" t="s">
        <v>3178</v>
      </c>
      <c r="C70" s="5" t="s">
        <v>369</v>
      </c>
      <c r="D70" s="5" t="s">
        <v>370</v>
      </c>
      <c r="E70" s="5" t="s">
        <v>3180</v>
      </c>
    </row>
    <row r="71" spans="1:5" ht="27.6">
      <c r="A71" s="5" t="s">
        <v>13</v>
      </c>
      <c r="B71" s="5" t="s">
        <v>3178</v>
      </c>
      <c r="C71" s="5" t="s">
        <v>383</v>
      </c>
      <c r="D71" s="5" t="s">
        <v>384</v>
      </c>
      <c r="E71" s="5" t="s">
        <v>3180</v>
      </c>
    </row>
    <row r="72" spans="1:5" ht="27.6">
      <c r="A72" s="5" t="s">
        <v>13</v>
      </c>
      <c r="B72" s="5" t="s">
        <v>3178</v>
      </c>
      <c r="C72" s="5" t="s">
        <v>397</v>
      </c>
      <c r="D72" s="5" t="s">
        <v>398</v>
      </c>
      <c r="E72" s="5" t="s">
        <v>3180</v>
      </c>
    </row>
    <row r="73" spans="1:5" ht="27.6">
      <c r="A73" s="5" t="s">
        <v>13</v>
      </c>
      <c r="B73" s="5" t="s">
        <v>3178</v>
      </c>
      <c r="C73" s="5" t="s">
        <v>411</v>
      </c>
      <c r="D73" s="5" t="s">
        <v>412</v>
      </c>
      <c r="E73" s="5" t="s">
        <v>3180</v>
      </c>
    </row>
    <row r="74" spans="1:5" ht="27.6">
      <c r="A74" s="5" t="s">
        <v>13</v>
      </c>
      <c r="B74" s="5" t="s">
        <v>3178</v>
      </c>
      <c r="C74" s="5" t="s">
        <v>425</v>
      </c>
      <c r="D74" s="5" t="s">
        <v>426</v>
      </c>
      <c r="E74" s="5" t="s">
        <v>3180</v>
      </c>
    </row>
    <row r="75" spans="1:5" ht="27.6">
      <c r="A75" s="5" t="s">
        <v>13</v>
      </c>
      <c r="B75" s="5" t="s">
        <v>3178</v>
      </c>
      <c r="C75" s="5" t="s">
        <v>439</v>
      </c>
      <c r="D75" s="5" t="s">
        <v>440</v>
      </c>
      <c r="E75" s="5" t="s">
        <v>3180</v>
      </c>
    </row>
    <row r="76" spans="1:5" ht="27.6">
      <c r="A76" s="5" t="s">
        <v>13</v>
      </c>
      <c r="B76" s="5" t="s">
        <v>3178</v>
      </c>
      <c r="C76" s="5" t="s">
        <v>453</v>
      </c>
      <c r="D76" s="5" t="s">
        <v>104</v>
      </c>
      <c r="E76" s="5" t="s">
        <v>3180</v>
      </c>
    </row>
    <row r="77" spans="1:5" ht="27.6">
      <c r="A77" s="5" t="s">
        <v>13</v>
      </c>
      <c r="B77" s="5" t="s">
        <v>3178</v>
      </c>
      <c r="C77" s="5" t="s">
        <v>466</v>
      </c>
      <c r="D77" s="5" t="s">
        <v>467</v>
      </c>
      <c r="E77" s="5" t="s">
        <v>3180</v>
      </c>
    </row>
    <row r="78" spans="1:5" ht="27.6">
      <c r="A78" s="5" t="s">
        <v>13</v>
      </c>
      <c r="B78" s="5" t="s">
        <v>3178</v>
      </c>
      <c r="C78" s="5" t="s">
        <v>480</v>
      </c>
      <c r="D78" s="5" t="s">
        <v>185</v>
      </c>
      <c r="E78" s="5" t="s">
        <v>3180</v>
      </c>
    </row>
    <row r="79" spans="1:5" ht="27.6">
      <c r="A79" s="5" t="s">
        <v>13</v>
      </c>
      <c r="B79" s="5" t="s">
        <v>3178</v>
      </c>
      <c r="C79" s="5" t="s">
        <v>521</v>
      </c>
      <c r="D79" s="5" t="s">
        <v>522</v>
      </c>
      <c r="E79" s="5" t="s">
        <v>3180</v>
      </c>
    </row>
    <row r="80" spans="1:5" ht="27.6">
      <c r="A80" s="5" t="s">
        <v>13</v>
      </c>
      <c r="B80" s="5" t="s">
        <v>3178</v>
      </c>
      <c r="C80" s="5" t="s">
        <v>549</v>
      </c>
      <c r="D80" s="5" t="s">
        <v>269</v>
      </c>
      <c r="E80" s="5" t="s">
        <v>3180</v>
      </c>
    </row>
    <row r="81" spans="1:5" ht="27.6">
      <c r="A81" s="5" t="s">
        <v>13</v>
      </c>
      <c r="B81" s="5" t="s">
        <v>3178</v>
      </c>
      <c r="C81" s="5" t="s">
        <v>562</v>
      </c>
      <c r="D81" s="5" t="s">
        <v>563</v>
      </c>
      <c r="E81" s="5" t="s">
        <v>3180</v>
      </c>
    </row>
    <row r="82" spans="1:5" ht="27.6">
      <c r="A82" s="5" t="s">
        <v>13</v>
      </c>
      <c r="B82" s="5" t="s">
        <v>3178</v>
      </c>
      <c r="C82" s="5" t="s">
        <v>576</v>
      </c>
      <c r="D82" s="5" t="s">
        <v>577</v>
      </c>
      <c r="E82" s="5" t="s">
        <v>3180</v>
      </c>
    </row>
    <row r="83" spans="1:5" ht="27.6">
      <c r="A83" s="5" t="s">
        <v>13</v>
      </c>
      <c r="B83" s="5" t="s">
        <v>3178</v>
      </c>
      <c r="C83" s="5" t="s">
        <v>589</v>
      </c>
      <c r="D83" s="5" t="s">
        <v>590</v>
      </c>
      <c r="E83" s="5" t="s">
        <v>3180</v>
      </c>
    </row>
    <row r="84" spans="1:5" ht="27.6">
      <c r="A84" s="5" t="s">
        <v>13</v>
      </c>
      <c r="B84" s="5" t="s">
        <v>3178</v>
      </c>
      <c r="C84" s="5" t="s">
        <v>603</v>
      </c>
      <c r="D84" s="5" t="s">
        <v>604</v>
      </c>
      <c r="E84" s="5" t="s">
        <v>3180</v>
      </c>
    </row>
    <row r="85" spans="1:5" ht="27.6">
      <c r="A85" s="5" t="s">
        <v>13</v>
      </c>
      <c r="B85" s="5" t="s">
        <v>3178</v>
      </c>
      <c r="C85" s="5" t="s">
        <v>617</v>
      </c>
      <c r="D85" s="5" t="s">
        <v>618</v>
      </c>
      <c r="E85" s="5" t="s">
        <v>3180</v>
      </c>
    </row>
    <row r="86" spans="1:5" ht="27.6">
      <c r="A86" s="5" t="s">
        <v>13</v>
      </c>
      <c r="B86" s="5" t="s">
        <v>3178</v>
      </c>
      <c r="C86" s="5" t="s">
        <v>630</v>
      </c>
      <c r="D86" s="5" t="s">
        <v>631</v>
      </c>
      <c r="E86" s="5" t="s">
        <v>3180</v>
      </c>
    </row>
    <row r="87" spans="1:5" ht="27.6">
      <c r="A87" s="5" t="s">
        <v>13</v>
      </c>
      <c r="B87" s="5" t="s">
        <v>3178</v>
      </c>
      <c r="C87" s="5" t="s">
        <v>644</v>
      </c>
      <c r="D87" s="5" t="s">
        <v>645</v>
      </c>
      <c r="E87" s="5" t="s">
        <v>3180</v>
      </c>
    </row>
    <row r="88" spans="1:5" ht="27.6">
      <c r="A88" s="5" t="s">
        <v>13</v>
      </c>
      <c r="B88" s="5" t="s">
        <v>3178</v>
      </c>
      <c r="C88" s="5" t="s">
        <v>658</v>
      </c>
      <c r="D88" s="5" t="s">
        <v>659</v>
      </c>
      <c r="E88" s="5" t="s">
        <v>3180</v>
      </c>
    </row>
    <row r="89" spans="1:5" ht="27.6">
      <c r="A89" s="5" t="s">
        <v>13</v>
      </c>
      <c r="B89" s="5" t="s">
        <v>3178</v>
      </c>
      <c r="C89" s="5" t="s">
        <v>672</v>
      </c>
      <c r="D89" s="5" t="s">
        <v>673</v>
      </c>
      <c r="E89" s="5" t="s">
        <v>3180</v>
      </c>
    </row>
    <row r="90" spans="1:5">
      <c r="A90" s="5" t="s">
        <v>15</v>
      </c>
      <c r="B90" s="5" t="s">
        <v>3178</v>
      </c>
      <c r="C90" s="5" t="s">
        <v>1112</v>
      </c>
      <c r="D90" s="5" t="s">
        <v>1113</v>
      </c>
      <c r="E90" s="5" t="s">
        <v>3179</v>
      </c>
    </row>
    <row r="91" spans="1:5">
      <c r="A91" s="5" t="s">
        <v>15</v>
      </c>
      <c r="B91" s="5" t="s">
        <v>3178</v>
      </c>
      <c r="C91" s="5" t="s">
        <v>1127</v>
      </c>
      <c r="D91" s="5" t="s">
        <v>1128</v>
      </c>
      <c r="E91" s="5" t="s">
        <v>3179</v>
      </c>
    </row>
    <row r="92" spans="1:5">
      <c r="A92" s="5" t="s">
        <v>15</v>
      </c>
      <c r="B92" s="5" t="s">
        <v>3178</v>
      </c>
      <c r="C92" s="5" t="s">
        <v>1141</v>
      </c>
      <c r="D92" s="5" t="s">
        <v>1142</v>
      </c>
      <c r="E92" s="5" t="s">
        <v>3179</v>
      </c>
    </row>
    <row r="93" spans="1:5">
      <c r="A93" s="5" t="s">
        <v>15</v>
      </c>
      <c r="B93" s="5" t="s">
        <v>3178</v>
      </c>
      <c r="C93" s="5" t="s">
        <v>1155</v>
      </c>
      <c r="D93" s="5" t="s">
        <v>1156</v>
      </c>
      <c r="E93" s="5" t="s">
        <v>3179</v>
      </c>
    </row>
    <row r="94" spans="1:5">
      <c r="A94" s="5" t="s">
        <v>15</v>
      </c>
      <c r="B94" s="5" t="s">
        <v>3178</v>
      </c>
      <c r="C94" s="5" t="s">
        <v>1169</v>
      </c>
      <c r="D94" s="5" t="s">
        <v>1170</v>
      </c>
      <c r="E94" s="5" t="s">
        <v>3179</v>
      </c>
    </row>
    <row r="95" spans="1:5">
      <c r="A95" s="5" t="s">
        <v>15</v>
      </c>
      <c r="B95" s="5" t="s">
        <v>3178</v>
      </c>
      <c r="C95" s="5" t="s">
        <v>1182</v>
      </c>
      <c r="D95" s="5" t="s">
        <v>1183</v>
      </c>
      <c r="E95" s="5" t="s">
        <v>3179</v>
      </c>
    </row>
    <row r="96" spans="1:5">
      <c r="A96" s="5" t="s">
        <v>15</v>
      </c>
      <c r="B96" s="5" t="s">
        <v>3178</v>
      </c>
      <c r="C96" s="5" t="s">
        <v>1195</v>
      </c>
      <c r="D96" s="5" t="s">
        <v>1196</v>
      </c>
      <c r="E96" s="5" t="s">
        <v>3179</v>
      </c>
    </row>
    <row r="97" spans="1:5" ht="27.6">
      <c r="A97" s="5" t="s">
        <v>15</v>
      </c>
      <c r="B97" s="5" t="s">
        <v>3178</v>
      </c>
      <c r="C97" s="5" t="s">
        <v>369</v>
      </c>
      <c r="D97" s="5" t="s">
        <v>370</v>
      </c>
      <c r="E97" s="5" t="s">
        <v>3180</v>
      </c>
    </row>
    <row r="98" spans="1:5" ht="27.6">
      <c r="A98" s="5" t="s">
        <v>15</v>
      </c>
      <c r="B98" s="5" t="s">
        <v>3178</v>
      </c>
      <c r="C98" s="5" t="s">
        <v>383</v>
      </c>
      <c r="D98" s="5" t="s">
        <v>384</v>
      </c>
      <c r="E98" s="5" t="s">
        <v>3180</v>
      </c>
    </row>
    <row r="99" spans="1:5" ht="27.6">
      <c r="A99" s="5" t="s">
        <v>15</v>
      </c>
      <c r="B99" s="5" t="s">
        <v>3178</v>
      </c>
      <c r="C99" s="5" t="s">
        <v>397</v>
      </c>
      <c r="D99" s="5" t="s">
        <v>398</v>
      </c>
      <c r="E99" s="5" t="s">
        <v>3180</v>
      </c>
    </row>
    <row r="100" spans="1:5" ht="27.6">
      <c r="A100" s="5" t="s">
        <v>15</v>
      </c>
      <c r="B100" s="5" t="s">
        <v>3178</v>
      </c>
      <c r="C100" s="5" t="s">
        <v>411</v>
      </c>
      <c r="D100" s="5" t="s">
        <v>412</v>
      </c>
      <c r="E100" s="5" t="s">
        <v>3180</v>
      </c>
    </row>
    <row r="101" spans="1:5" ht="27.6">
      <c r="A101" s="5" t="s">
        <v>15</v>
      </c>
      <c r="B101" s="5" t="s">
        <v>3178</v>
      </c>
      <c r="C101" s="5" t="s">
        <v>425</v>
      </c>
      <c r="D101" s="5" t="s">
        <v>426</v>
      </c>
      <c r="E101" s="5" t="s">
        <v>3180</v>
      </c>
    </row>
    <row r="102" spans="1:5" ht="27.6">
      <c r="A102" s="5" t="s">
        <v>15</v>
      </c>
      <c r="B102" s="5" t="s">
        <v>3178</v>
      </c>
      <c r="C102" s="5" t="s">
        <v>439</v>
      </c>
      <c r="D102" s="5" t="s">
        <v>440</v>
      </c>
      <c r="E102" s="5" t="s">
        <v>3180</v>
      </c>
    </row>
    <row r="103" spans="1:5" ht="27.6">
      <c r="A103" s="5" t="s">
        <v>15</v>
      </c>
      <c r="B103" s="5" t="s">
        <v>3178</v>
      </c>
      <c r="C103" s="5" t="s">
        <v>453</v>
      </c>
      <c r="D103" s="5" t="s">
        <v>104</v>
      </c>
      <c r="E103" s="5" t="s">
        <v>3180</v>
      </c>
    </row>
    <row r="104" spans="1:5" ht="27.6">
      <c r="A104" s="5" t="s">
        <v>15</v>
      </c>
      <c r="B104" s="5" t="s">
        <v>3178</v>
      </c>
      <c r="C104" s="5" t="s">
        <v>466</v>
      </c>
      <c r="D104" s="5" t="s">
        <v>467</v>
      </c>
      <c r="E104" s="5" t="s">
        <v>3180</v>
      </c>
    </row>
    <row r="105" spans="1:5" ht="27.6">
      <c r="A105" s="5" t="s">
        <v>15</v>
      </c>
      <c r="B105" s="5" t="s">
        <v>3178</v>
      </c>
      <c r="C105" s="5" t="s">
        <v>480</v>
      </c>
      <c r="D105" s="5" t="s">
        <v>185</v>
      </c>
      <c r="E105" s="5" t="s">
        <v>3180</v>
      </c>
    </row>
    <row r="106" spans="1:5" ht="27.6">
      <c r="A106" s="5" t="s">
        <v>15</v>
      </c>
      <c r="B106" s="5" t="s">
        <v>3178</v>
      </c>
      <c r="C106" s="5" t="s">
        <v>493</v>
      </c>
      <c r="D106" s="5" t="s">
        <v>494</v>
      </c>
      <c r="E106" s="5" t="s">
        <v>3180</v>
      </c>
    </row>
    <row r="107" spans="1:5" ht="27.6">
      <c r="A107" s="5" t="s">
        <v>15</v>
      </c>
      <c r="B107" s="5" t="s">
        <v>3178</v>
      </c>
      <c r="C107" s="5" t="s">
        <v>507</v>
      </c>
      <c r="D107" s="5" t="s">
        <v>508</v>
      </c>
      <c r="E107" s="5" t="s">
        <v>3180</v>
      </c>
    </row>
    <row r="108" spans="1:5" ht="27.6">
      <c r="A108" s="5" t="s">
        <v>15</v>
      </c>
      <c r="B108" s="5" t="s">
        <v>3178</v>
      </c>
      <c r="C108" s="5" t="s">
        <v>521</v>
      </c>
      <c r="D108" s="5" t="s">
        <v>522</v>
      </c>
      <c r="E108" s="5" t="s">
        <v>3180</v>
      </c>
    </row>
    <row r="109" spans="1:5" ht="27.6">
      <c r="A109" s="5" t="s">
        <v>15</v>
      </c>
      <c r="B109" s="5" t="s">
        <v>3178</v>
      </c>
      <c r="C109" s="5" t="s">
        <v>535</v>
      </c>
      <c r="D109" s="5" t="s">
        <v>536</v>
      </c>
      <c r="E109" s="5" t="s">
        <v>3180</v>
      </c>
    </row>
    <row r="110" spans="1:5" ht="27.6">
      <c r="A110" s="5" t="s">
        <v>15</v>
      </c>
      <c r="B110" s="5" t="s">
        <v>3178</v>
      </c>
      <c r="C110" s="5" t="s">
        <v>549</v>
      </c>
      <c r="D110" s="5" t="s">
        <v>269</v>
      </c>
      <c r="E110" s="5" t="s">
        <v>3180</v>
      </c>
    </row>
    <row r="111" spans="1:5" ht="27.6">
      <c r="A111" s="5" t="s">
        <v>15</v>
      </c>
      <c r="B111" s="5" t="s">
        <v>3178</v>
      </c>
      <c r="C111" s="5" t="s">
        <v>562</v>
      </c>
      <c r="D111" s="5" t="s">
        <v>563</v>
      </c>
      <c r="E111" s="5" t="s">
        <v>3180</v>
      </c>
    </row>
    <row r="112" spans="1:5" ht="27.6">
      <c r="A112" s="5" t="s">
        <v>15</v>
      </c>
      <c r="B112" s="5" t="s">
        <v>3178</v>
      </c>
      <c r="C112" s="5" t="s">
        <v>576</v>
      </c>
      <c r="D112" s="5" t="s">
        <v>577</v>
      </c>
      <c r="E112" s="5" t="s">
        <v>3180</v>
      </c>
    </row>
    <row r="113" spans="1:5" ht="27.6">
      <c r="A113" s="5" t="s">
        <v>15</v>
      </c>
      <c r="B113" s="5" t="s">
        <v>3178</v>
      </c>
      <c r="C113" s="5" t="s">
        <v>589</v>
      </c>
      <c r="D113" s="5" t="s">
        <v>590</v>
      </c>
      <c r="E113" s="5" t="s">
        <v>3180</v>
      </c>
    </row>
    <row r="114" spans="1:5" ht="27.6">
      <c r="A114" s="5" t="s">
        <v>15</v>
      </c>
      <c r="B114" s="5" t="s">
        <v>3178</v>
      </c>
      <c r="C114" s="5" t="s">
        <v>603</v>
      </c>
      <c r="D114" s="5" t="s">
        <v>604</v>
      </c>
      <c r="E114" s="5" t="s">
        <v>3180</v>
      </c>
    </row>
    <row r="115" spans="1:5" ht="27.6">
      <c r="A115" s="5" t="s">
        <v>15</v>
      </c>
      <c r="B115" s="5" t="s">
        <v>3178</v>
      </c>
      <c r="C115" s="5" t="s">
        <v>617</v>
      </c>
      <c r="D115" s="5" t="s">
        <v>618</v>
      </c>
      <c r="E115" s="5" t="s">
        <v>3180</v>
      </c>
    </row>
    <row r="116" spans="1:5" ht="27.6">
      <c r="A116" s="5" t="s">
        <v>15</v>
      </c>
      <c r="B116" s="5" t="s">
        <v>3178</v>
      </c>
      <c r="C116" s="5" t="s">
        <v>630</v>
      </c>
      <c r="D116" s="5" t="s">
        <v>631</v>
      </c>
      <c r="E116" s="5" t="s">
        <v>3180</v>
      </c>
    </row>
    <row r="117" spans="1:5" ht="27.6">
      <c r="A117" s="5" t="s">
        <v>15</v>
      </c>
      <c r="B117" s="5" t="s">
        <v>3178</v>
      </c>
      <c r="C117" s="5" t="s">
        <v>644</v>
      </c>
      <c r="D117" s="5" t="s">
        <v>645</v>
      </c>
      <c r="E117" s="5" t="s">
        <v>3180</v>
      </c>
    </row>
    <row r="118" spans="1:5" ht="27.6">
      <c r="A118" s="5" t="s">
        <v>15</v>
      </c>
      <c r="B118" s="5" t="s">
        <v>3178</v>
      </c>
      <c r="C118" s="5" t="s">
        <v>658</v>
      </c>
      <c r="D118" s="5" t="s">
        <v>659</v>
      </c>
      <c r="E118" s="5" t="s">
        <v>3180</v>
      </c>
    </row>
    <row r="119" spans="1:5" ht="27.6">
      <c r="A119" s="5" t="s">
        <v>15</v>
      </c>
      <c r="B119" s="5" t="s">
        <v>3178</v>
      </c>
      <c r="C119" s="5" t="s">
        <v>672</v>
      </c>
      <c r="D119" s="5" t="s">
        <v>673</v>
      </c>
      <c r="E119" s="5" t="s">
        <v>3180</v>
      </c>
    </row>
    <row r="120" spans="1:5">
      <c r="A120" s="5" t="s">
        <v>16</v>
      </c>
      <c r="B120" s="5" t="s">
        <v>3178</v>
      </c>
      <c r="C120" s="5" t="s">
        <v>1375</v>
      </c>
      <c r="D120" s="5" t="s">
        <v>1376</v>
      </c>
      <c r="E120" s="5" t="s">
        <v>3179</v>
      </c>
    </row>
    <row r="121" spans="1:5">
      <c r="A121" s="5" t="s">
        <v>16</v>
      </c>
      <c r="B121" s="5" t="s">
        <v>3178</v>
      </c>
      <c r="C121" s="5" t="s">
        <v>1390</v>
      </c>
      <c r="D121" s="5" t="s">
        <v>1391</v>
      </c>
      <c r="E121" s="5" t="s">
        <v>3179</v>
      </c>
    </row>
    <row r="122" spans="1:5">
      <c r="A122" s="5" t="s">
        <v>16</v>
      </c>
      <c r="B122" s="5" t="s">
        <v>3178</v>
      </c>
      <c r="C122" s="5" t="s">
        <v>1404</v>
      </c>
      <c r="D122" s="5" t="s">
        <v>1405</v>
      </c>
      <c r="E122" s="5" t="s">
        <v>3179</v>
      </c>
    </row>
    <row r="123" spans="1:5">
      <c r="A123" s="5" t="s">
        <v>16</v>
      </c>
      <c r="B123" s="5" t="s">
        <v>3178</v>
      </c>
      <c r="C123" s="5" t="s">
        <v>1418</v>
      </c>
      <c r="D123" s="5" t="s">
        <v>1419</v>
      </c>
      <c r="E123" s="5" t="s">
        <v>3179</v>
      </c>
    </row>
    <row r="124" spans="1:5">
      <c r="A124" s="5" t="s">
        <v>16</v>
      </c>
      <c r="B124" s="5" t="s">
        <v>3178</v>
      </c>
      <c r="C124" s="5" t="s">
        <v>1432</v>
      </c>
      <c r="D124" s="5" t="s">
        <v>1183</v>
      </c>
      <c r="E124" s="5" t="s">
        <v>3179</v>
      </c>
    </row>
    <row r="125" spans="1:5" ht="27.6">
      <c r="A125" s="5" t="s">
        <v>16</v>
      </c>
      <c r="B125" s="5" t="s">
        <v>3178</v>
      </c>
      <c r="C125" s="5" t="s">
        <v>369</v>
      </c>
      <c r="D125" s="5" t="s">
        <v>370</v>
      </c>
      <c r="E125" s="5" t="s">
        <v>3180</v>
      </c>
    </row>
    <row r="126" spans="1:5" ht="27.6">
      <c r="A126" s="5" t="s">
        <v>16</v>
      </c>
      <c r="B126" s="5" t="s">
        <v>3178</v>
      </c>
      <c r="C126" s="5" t="s">
        <v>383</v>
      </c>
      <c r="D126" s="5" t="s">
        <v>384</v>
      </c>
      <c r="E126" s="5" t="s">
        <v>3180</v>
      </c>
    </row>
    <row r="127" spans="1:5" ht="27.6">
      <c r="A127" s="5" t="s">
        <v>16</v>
      </c>
      <c r="B127" s="5" t="s">
        <v>3178</v>
      </c>
      <c r="C127" s="5" t="s">
        <v>397</v>
      </c>
      <c r="D127" s="5" t="s">
        <v>398</v>
      </c>
      <c r="E127" s="5" t="s">
        <v>3180</v>
      </c>
    </row>
    <row r="128" spans="1:5" ht="27.6">
      <c r="A128" s="5" t="s">
        <v>16</v>
      </c>
      <c r="B128" s="5" t="s">
        <v>3178</v>
      </c>
      <c r="C128" s="5" t="s">
        <v>411</v>
      </c>
      <c r="D128" s="5" t="s">
        <v>412</v>
      </c>
      <c r="E128" s="5" t="s">
        <v>3180</v>
      </c>
    </row>
    <row r="129" spans="1:5" ht="27.6">
      <c r="A129" s="5" t="s">
        <v>16</v>
      </c>
      <c r="B129" s="5" t="s">
        <v>3178</v>
      </c>
      <c r="C129" s="5" t="s">
        <v>425</v>
      </c>
      <c r="D129" s="5" t="s">
        <v>426</v>
      </c>
      <c r="E129" s="5" t="s">
        <v>3180</v>
      </c>
    </row>
    <row r="130" spans="1:5" ht="27.6">
      <c r="A130" s="5" t="s">
        <v>16</v>
      </c>
      <c r="B130" s="5" t="s">
        <v>3178</v>
      </c>
      <c r="C130" s="5" t="s">
        <v>439</v>
      </c>
      <c r="D130" s="5" t="s">
        <v>440</v>
      </c>
      <c r="E130" s="5" t="s">
        <v>3180</v>
      </c>
    </row>
    <row r="131" spans="1:5" ht="27.6">
      <c r="A131" s="5" t="s">
        <v>16</v>
      </c>
      <c r="B131" s="5" t="s">
        <v>3178</v>
      </c>
      <c r="C131" s="5" t="s">
        <v>453</v>
      </c>
      <c r="D131" s="5" t="s">
        <v>104</v>
      </c>
      <c r="E131" s="5" t="s">
        <v>3180</v>
      </c>
    </row>
    <row r="132" spans="1:5" ht="27.6">
      <c r="A132" s="5" t="s">
        <v>16</v>
      </c>
      <c r="B132" s="5" t="s">
        <v>3178</v>
      </c>
      <c r="C132" s="5" t="s">
        <v>466</v>
      </c>
      <c r="D132" s="5" t="s">
        <v>467</v>
      </c>
      <c r="E132" s="5" t="s">
        <v>3180</v>
      </c>
    </row>
    <row r="133" spans="1:5" ht="27.6">
      <c r="A133" s="5" t="s">
        <v>16</v>
      </c>
      <c r="B133" s="5" t="s">
        <v>3178</v>
      </c>
      <c r="C133" s="5" t="s">
        <v>480</v>
      </c>
      <c r="D133" s="5" t="s">
        <v>185</v>
      </c>
      <c r="E133" s="5" t="s">
        <v>3180</v>
      </c>
    </row>
    <row r="134" spans="1:5" ht="27.6">
      <c r="A134" s="5" t="s">
        <v>16</v>
      </c>
      <c r="B134" s="5" t="s">
        <v>3178</v>
      </c>
      <c r="C134" s="5" t="s">
        <v>493</v>
      </c>
      <c r="D134" s="5" t="s">
        <v>494</v>
      </c>
      <c r="E134" s="5" t="s">
        <v>3180</v>
      </c>
    </row>
    <row r="135" spans="1:5" ht="27.6">
      <c r="A135" s="5" t="s">
        <v>16</v>
      </c>
      <c r="B135" s="5" t="s">
        <v>3178</v>
      </c>
      <c r="C135" s="5" t="s">
        <v>507</v>
      </c>
      <c r="D135" s="5" t="s">
        <v>508</v>
      </c>
      <c r="E135" s="5" t="s">
        <v>3180</v>
      </c>
    </row>
    <row r="136" spans="1:5" ht="27.6">
      <c r="A136" s="5" t="s">
        <v>16</v>
      </c>
      <c r="B136" s="5" t="s">
        <v>3178</v>
      </c>
      <c r="C136" s="5" t="s">
        <v>521</v>
      </c>
      <c r="D136" s="5" t="s">
        <v>522</v>
      </c>
      <c r="E136" s="5" t="s">
        <v>3180</v>
      </c>
    </row>
    <row r="137" spans="1:5" ht="27.6">
      <c r="A137" s="5" t="s">
        <v>16</v>
      </c>
      <c r="B137" s="5" t="s">
        <v>3178</v>
      </c>
      <c r="C137" s="5" t="s">
        <v>535</v>
      </c>
      <c r="D137" s="5" t="s">
        <v>536</v>
      </c>
      <c r="E137" s="5" t="s">
        <v>3180</v>
      </c>
    </row>
    <row r="138" spans="1:5" ht="27.6">
      <c r="A138" s="5" t="s">
        <v>16</v>
      </c>
      <c r="B138" s="5" t="s">
        <v>3178</v>
      </c>
      <c r="C138" s="5" t="s">
        <v>549</v>
      </c>
      <c r="D138" s="5" t="s">
        <v>269</v>
      </c>
      <c r="E138" s="5" t="s">
        <v>3180</v>
      </c>
    </row>
    <row r="139" spans="1:5" ht="27.6">
      <c r="A139" s="5" t="s">
        <v>16</v>
      </c>
      <c r="B139" s="5" t="s">
        <v>3178</v>
      </c>
      <c r="C139" s="5" t="s">
        <v>562</v>
      </c>
      <c r="D139" s="5" t="s">
        <v>563</v>
      </c>
      <c r="E139" s="5" t="s">
        <v>3180</v>
      </c>
    </row>
    <row r="140" spans="1:5" ht="27.6">
      <c r="A140" s="5" t="s">
        <v>16</v>
      </c>
      <c r="B140" s="5" t="s">
        <v>3178</v>
      </c>
      <c r="C140" s="5" t="s">
        <v>576</v>
      </c>
      <c r="D140" s="5" t="s">
        <v>577</v>
      </c>
      <c r="E140" s="5" t="s">
        <v>3180</v>
      </c>
    </row>
    <row r="141" spans="1:5" ht="27.6">
      <c r="A141" s="5" t="s">
        <v>16</v>
      </c>
      <c r="B141" s="5" t="s">
        <v>3178</v>
      </c>
      <c r="C141" s="5" t="s">
        <v>589</v>
      </c>
      <c r="D141" s="5" t="s">
        <v>590</v>
      </c>
      <c r="E141" s="5" t="s">
        <v>3180</v>
      </c>
    </row>
    <row r="142" spans="1:5" ht="27.6">
      <c r="A142" s="5" t="s">
        <v>16</v>
      </c>
      <c r="B142" s="5" t="s">
        <v>3178</v>
      </c>
      <c r="C142" s="5" t="s">
        <v>603</v>
      </c>
      <c r="D142" s="5" t="s">
        <v>604</v>
      </c>
      <c r="E142" s="5" t="s">
        <v>3180</v>
      </c>
    </row>
    <row r="143" spans="1:5" ht="27.6">
      <c r="A143" s="5" t="s">
        <v>16</v>
      </c>
      <c r="B143" s="5" t="s">
        <v>3178</v>
      </c>
      <c r="C143" s="5" t="s">
        <v>617</v>
      </c>
      <c r="D143" s="5" t="s">
        <v>618</v>
      </c>
      <c r="E143" s="5" t="s">
        <v>3180</v>
      </c>
    </row>
    <row r="144" spans="1:5" ht="27.6">
      <c r="A144" s="5" t="s">
        <v>16</v>
      </c>
      <c r="B144" s="5" t="s">
        <v>3178</v>
      </c>
      <c r="C144" s="5" t="s">
        <v>630</v>
      </c>
      <c r="D144" s="5" t="s">
        <v>631</v>
      </c>
      <c r="E144" s="5" t="s">
        <v>3180</v>
      </c>
    </row>
    <row r="145" spans="1:5" ht="27.6">
      <c r="A145" s="5" t="s">
        <v>16</v>
      </c>
      <c r="B145" s="5" t="s">
        <v>3178</v>
      </c>
      <c r="C145" s="5" t="s">
        <v>644</v>
      </c>
      <c r="D145" s="5" t="s">
        <v>645</v>
      </c>
      <c r="E145" s="5" t="s">
        <v>3180</v>
      </c>
    </row>
    <row r="146" spans="1:5" ht="27.6">
      <c r="A146" s="5" t="s">
        <v>16</v>
      </c>
      <c r="B146" s="5" t="s">
        <v>3178</v>
      </c>
      <c r="C146" s="5" t="s">
        <v>658</v>
      </c>
      <c r="D146" s="5" t="s">
        <v>659</v>
      </c>
      <c r="E146" s="5" t="s">
        <v>3180</v>
      </c>
    </row>
    <row r="147" spans="1:5" ht="27.6">
      <c r="A147" s="5" t="s">
        <v>16</v>
      </c>
      <c r="B147" s="5" t="s">
        <v>3178</v>
      </c>
      <c r="C147" s="5" t="s">
        <v>672</v>
      </c>
      <c r="D147" s="5" t="s">
        <v>673</v>
      </c>
      <c r="E147" s="5" t="s">
        <v>3180</v>
      </c>
    </row>
    <row r="148" spans="1:5">
      <c r="A148" s="5" t="s">
        <v>17</v>
      </c>
      <c r="B148" s="5" t="s">
        <v>3178</v>
      </c>
      <c r="C148" s="5" t="s">
        <v>686</v>
      </c>
      <c r="D148" s="5" t="s">
        <v>687</v>
      </c>
      <c r="E148" s="5" t="s">
        <v>3179</v>
      </c>
    </row>
    <row r="149" spans="1:5">
      <c r="A149" s="5" t="s">
        <v>17</v>
      </c>
      <c r="B149" s="5" t="s">
        <v>3178</v>
      </c>
      <c r="C149" s="5" t="s">
        <v>701</v>
      </c>
      <c r="D149" s="5" t="s">
        <v>702</v>
      </c>
      <c r="E149" s="5" t="s">
        <v>3179</v>
      </c>
    </row>
    <row r="150" spans="1:5">
      <c r="A150" s="5" t="s">
        <v>17</v>
      </c>
      <c r="B150" s="5" t="s">
        <v>3178</v>
      </c>
      <c r="C150" s="5" t="s">
        <v>715</v>
      </c>
      <c r="D150" s="5" t="s">
        <v>716</v>
      </c>
      <c r="E150" s="5" t="s">
        <v>3179</v>
      </c>
    </row>
    <row r="151" spans="1:5">
      <c r="A151" s="5" t="s">
        <v>17</v>
      </c>
      <c r="B151" s="5" t="s">
        <v>3178</v>
      </c>
      <c r="C151" s="5" t="s">
        <v>729</v>
      </c>
      <c r="D151" s="5" t="s">
        <v>730</v>
      </c>
      <c r="E151" s="5" t="s">
        <v>3179</v>
      </c>
    </row>
    <row r="152" spans="1:5">
      <c r="A152" s="5" t="s">
        <v>17</v>
      </c>
      <c r="B152" s="5" t="s">
        <v>3178</v>
      </c>
      <c r="C152" s="5" t="s">
        <v>744</v>
      </c>
      <c r="D152" s="5" t="s">
        <v>745</v>
      </c>
      <c r="E152" s="5" t="s">
        <v>3179</v>
      </c>
    </row>
    <row r="153" spans="1:5">
      <c r="A153" s="5" t="s">
        <v>17</v>
      </c>
      <c r="B153" s="5" t="s">
        <v>3178</v>
      </c>
      <c r="C153" s="5" t="s">
        <v>757</v>
      </c>
      <c r="D153" s="5" t="s">
        <v>758</v>
      </c>
      <c r="E153" s="5" t="s">
        <v>3179</v>
      </c>
    </row>
    <row r="154" spans="1:5" ht="27.6">
      <c r="A154" s="5" t="s">
        <v>17</v>
      </c>
      <c r="B154" s="5" t="s">
        <v>3178</v>
      </c>
      <c r="C154" s="5" t="s">
        <v>1304</v>
      </c>
      <c r="D154" s="5" t="s">
        <v>1305</v>
      </c>
      <c r="E154" s="5" t="s">
        <v>3180</v>
      </c>
    </row>
    <row r="155" spans="1:5" ht="27.6">
      <c r="A155" s="5" t="s">
        <v>17</v>
      </c>
      <c r="B155" s="5" t="s">
        <v>3178</v>
      </c>
      <c r="C155" s="5" t="s">
        <v>1319</v>
      </c>
      <c r="D155" s="5" t="s">
        <v>1320</v>
      </c>
      <c r="E155" s="5" t="s">
        <v>3180</v>
      </c>
    </row>
    <row r="156" spans="1:5" ht="27.6">
      <c r="A156" s="5" t="s">
        <v>17</v>
      </c>
      <c r="B156" s="5" t="s">
        <v>3178</v>
      </c>
      <c r="C156" s="5" t="s">
        <v>1333</v>
      </c>
      <c r="D156" s="5" t="s">
        <v>1334</v>
      </c>
      <c r="E156" s="5" t="s">
        <v>3180</v>
      </c>
    </row>
    <row r="157" spans="1:5" ht="27.6">
      <c r="A157" s="5" t="s">
        <v>17</v>
      </c>
      <c r="B157" s="5" t="s">
        <v>3178</v>
      </c>
      <c r="C157" s="5" t="s">
        <v>1347</v>
      </c>
      <c r="D157" s="5" t="s">
        <v>1348</v>
      </c>
      <c r="E157" s="5" t="s">
        <v>3180</v>
      </c>
    </row>
    <row r="158" spans="1:5" ht="27.6">
      <c r="A158" s="5" t="s">
        <v>17</v>
      </c>
      <c r="B158" s="5" t="s">
        <v>3178</v>
      </c>
      <c r="C158" s="5" t="s">
        <v>1361</v>
      </c>
      <c r="D158" s="5" t="s">
        <v>1362</v>
      </c>
      <c r="E158" s="5" t="s">
        <v>3180</v>
      </c>
    </row>
    <row r="159" spans="1:5" ht="27.6">
      <c r="A159" s="5" t="s">
        <v>17</v>
      </c>
      <c r="B159" s="5" t="s">
        <v>3178</v>
      </c>
      <c r="C159" s="5" t="s">
        <v>397</v>
      </c>
      <c r="D159" s="5" t="s">
        <v>398</v>
      </c>
      <c r="E159" s="5" t="s">
        <v>3180</v>
      </c>
    </row>
    <row r="160" spans="1:5" ht="27.6">
      <c r="A160" s="5" t="s">
        <v>17</v>
      </c>
      <c r="B160" s="5" t="s">
        <v>3178</v>
      </c>
      <c r="C160" s="5" t="s">
        <v>411</v>
      </c>
      <c r="D160" s="5" t="s">
        <v>412</v>
      </c>
      <c r="E160" s="5" t="s">
        <v>3180</v>
      </c>
    </row>
    <row r="161" spans="1:5" ht="27.6">
      <c r="A161" s="5" t="s">
        <v>17</v>
      </c>
      <c r="B161" s="5" t="s">
        <v>3178</v>
      </c>
      <c r="C161" s="5" t="s">
        <v>425</v>
      </c>
      <c r="D161" s="5" t="s">
        <v>426</v>
      </c>
      <c r="E161" s="5" t="s">
        <v>3180</v>
      </c>
    </row>
    <row r="162" spans="1:5" ht="27.6">
      <c r="A162" s="5" t="s">
        <v>17</v>
      </c>
      <c r="B162" s="5" t="s">
        <v>3178</v>
      </c>
      <c r="C162" s="5" t="s">
        <v>439</v>
      </c>
      <c r="D162" s="5" t="s">
        <v>440</v>
      </c>
      <c r="E162" s="5" t="s">
        <v>3180</v>
      </c>
    </row>
    <row r="163" spans="1:5" ht="27.6">
      <c r="A163" s="5" t="s">
        <v>17</v>
      </c>
      <c r="B163" s="5" t="s">
        <v>3178</v>
      </c>
      <c r="C163" s="5" t="s">
        <v>453</v>
      </c>
      <c r="D163" s="5" t="s">
        <v>104</v>
      </c>
      <c r="E163" s="5" t="s">
        <v>3180</v>
      </c>
    </row>
    <row r="164" spans="1:5" ht="27.6">
      <c r="A164" s="5" t="s">
        <v>17</v>
      </c>
      <c r="B164" s="5" t="s">
        <v>3178</v>
      </c>
      <c r="C164" s="5" t="s">
        <v>562</v>
      </c>
      <c r="D164" s="5" t="s">
        <v>563</v>
      </c>
      <c r="E164" s="5" t="s">
        <v>3180</v>
      </c>
    </row>
    <row r="165" spans="1:5" ht="27.6">
      <c r="A165" s="5" t="s">
        <v>17</v>
      </c>
      <c r="B165" s="5" t="s">
        <v>3178</v>
      </c>
      <c r="C165" s="5" t="s">
        <v>617</v>
      </c>
      <c r="D165" s="5" t="s">
        <v>618</v>
      </c>
      <c r="E165" s="5" t="s">
        <v>3180</v>
      </c>
    </row>
    <row r="166" spans="1:5" ht="27.6">
      <c r="A166" s="5" t="s">
        <v>17</v>
      </c>
      <c r="B166" s="5" t="s">
        <v>3178</v>
      </c>
      <c r="C166" s="5" t="s">
        <v>630</v>
      </c>
      <c r="D166" s="5" t="s">
        <v>631</v>
      </c>
      <c r="E166" s="5" t="s">
        <v>3180</v>
      </c>
    </row>
    <row r="167" spans="1:5" ht="27.6">
      <c r="A167" s="5" t="s">
        <v>17</v>
      </c>
      <c r="B167" s="5" t="s">
        <v>3178</v>
      </c>
      <c r="C167" s="5" t="s">
        <v>644</v>
      </c>
      <c r="D167" s="5" t="s">
        <v>645</v>
      </c>
      <c r="E167" s="5" t="s">
        <v>3180</v>
      </c>
    </row>
    <row r="168" spans="1:5" ht="27.6">
      <c r="A168" s="5" t="s">
        <v>17</v>
      </c>
      <c r="B168" s="5" t="s">
        <v>3178</v>
      </c>
      <c r="C168" s="5" t="s">
        <v>658</v>
      </c>
      <c r="D168" s="5" t="s">
        <v>659</v>
      </c>
      <c r="E168" s="5" t="s">
        <v>3180</v>
      </c>
    </row>
    <row r="169" spans="1:5" ht="27.6">
      <c r="A169" s="5" t="s">
        <v>17</v>
      </c>
      <c r="B169" s="5" t="s">
        <v>3178</v>
      </c>
      <c r="C169" s="5" t="s">
        <v>672</v>
      </c>
      <c r="D169" s="5" t="s">
        <v>673</v>
      </c>
      <c r="E169" s="5" t="s">
        <v>3180</v>
      </c>
    </row>
    <row r="170" spans="1:5">
      <c r="A170" s="5" t="s">
        <v>20</v>
      </c>
      <c r="B170" s="5" t="s">
        <v>3178</v>
      </c>
      <c r="C170" s="5" t="s">
        <v>770</v>
      </c>
      <c r="D170" s="5" t="s">
        <v>771</v>
      </c>
      <c r="E170" s="5" t="s">
        <v>3179</v>
      </c>
    </row>
    <row r="171" spans="1:5">
      <c r="A171" s="5" t="s">
        <v>20</v>
      </c>
      <c r="B171" s="5" t="s">
        <v>3178</v>
      </c>
      <c r="C171" s="5" t="s">
        <v>784</v>
      </c>
      <c r="D171" s="5" t="s">
        <v>785</v>
      </c>
      <c r="E171" s="5" t="s">
        <v>3179</v>
      </c>
    </row>
    <row r="172" spans="1:5">
      <c r="A172" s="5" t="s">
        <v>20</v>
      </c>
      <c r="B172" s="5" t="s">
        <v>3178</v>
      </c>
      <c r="C172" s="5" t="s">
        <v>798</v>
      </c>
      <c r="D172" s="5" t="s">
        <v>799</v>
      </c>
      <c r="E172" s="5" t="s">
        <v>3179</v>
      </c>
    </row>
    <row r="173" spans="1:5">
      <c r="A173" s="5" t="s">
        <v>20</v>
      </c>
      <c r="B173" s="5" t="s">
        <v>3178</v>
      </c>
      <c r="C173" s="5" t="s">
        <v>812</v>
      </c>
      <c r="D173" s="5" t="s">
        <v>813</v>
      </c>
      <c r="E173" s="5" t="s">
        <v>3179</v>
      </c>
    </row>
    <row r="174" spans="1:5" ht="27.6">
      <c r="A174" s="5" t="s">
        <v>20</v>
      </c>
      <c r="B174" s="5" t="s">
        <v>3178</v>
      </c>
      <c r="C174" s="5" t="s">
        <v>1304</v>
      </c>
      <c r="D174" s="5" t="s">
        <v>1305</v>
      </c>
      <c r="E174" s="5" t="s">
        <v>3180</v>
      </c>
    </row>
    <row r="175" spans="1:5" ht="27.6">
      <c r="A175" s="5" t="s">
        <v>20</v>
      </c>
      <c r="B175" s="5" t="s">
        <v>3178</v>
      </c>
      <c r="C175" s="5" t="s">
        <v>1319</v>
      </c>
      <c r="D175" s="5" t="s">
        <v>1320</v>
      </c>
      <c r="E175" s="5" t="s">
        <v>3180</v>
      </c>
    </row>
    <row r="176" spans="1:5" ht="27.6">
      <c r="A176" s="5" t="s">
        <v>20</v>
      </c>
      <c r="B176" s="5" t="s">
        <v>3178</v>
      </c>
      <c r="C176" s="5" t="s">
        <v>1333</v>
      </c>
      <c r="D176" s="5" t="s">
        <v>1334</v>
      </c>
      <c r="E176" s="5" t="s">
        <v>3180</v>
      </c>
    </row>
    <row r="177" spans="1:5" ht="27.6">
      <c r="A177" s="5" t="s">
        <v>20</v>
      </c>
      <c r="B177" s="5" t="s">
        <v>3178</v>
      </c>
      <c r="C177" s="5" t="s">
        <v>1347</v>
      </c>
      <c r="D177" s="5" t="s">
        <v>1348</v>
      </c>
      <c r="E177" s="5" t="s">
        <v>3180</v>
      </c>
    </row>
    <row r="178" spans="1:5" ht="27.6">
      <c r="A178" s="5" t="s">
        <v>20</v>
      </c>
      <c r="B178" s="5" t="s">
        <v>3178</v>
      </c>
      <c r="C178" s="5" t="s">
        <v>1361</v>
      </c>
      <c r="D178" s="5" t="s">
        <v>1362</v>
      </c>
      <c r="E178" s="5" t="s">
        <v>3180</v>
      </c>
    </row>
    <row r="179" spans="1:5" ht="27.6">
      <c r="A179" s="5" t="s">
        <v>20</v>
      </c>
      <c r="B179" s="5" t="s">
        <v>3178</v>
      </c>
      <c r="C179" s="5" t="s">
        <v>383</v>
      </c>
      <c r="D179" s="5" t="s">
        <v>384</v>
      </c>
      <c r="E179" s="5" t="s">
        <v>3180</v>
      </c>
    </row>
    <row r="180" spans="1:5" ht="27.6">
      <c r="A180" s="5" t="s">
        <v>20</v>
      </c>
      <c r="B180" s="5" t="s">
        <v>3178</v>
      </c>
      <c r="C180" s="5" t="s">
        <v>397</v>
      </c>
      <c r="D180" s="5" t="s">
        <v>398</v>
      </c>
      <c r="E180" s="5" t="s">
        <v>3180</v>
      </c>
    </row>
    <row r="181" spans="1:5" ht="27.6">
      <c r="A181" s="5" t="s">
        <v>20</v>
      </c>
      <c r="B181" s="5" t="s">
        <v>3178</v>
      </c>
      <c r="C181" s="5" t="s">
        <v>411</v>
      </c>
      <c r="D181" s="5" t="s">
        <v>412</v>
      </c>
      <c r="E181" s="5" t="s">
        <v>3180</v>
      </c>
    </row>
    <row r="182" spans="1:5" ht="27.6">
      <c r="A182" s="5" t="s">
        <v>20</v>
      </c>
      <c r="B182" s="5" t="s">
        <v>3178</v>
      </c>
      <c r="C182" s="5" t="s">
        <v>439</v>
      </c>
      <c r="D182" s="5" t="s">
        <v>440</v>
      </c>
      <c r="E182" s="5" t="s">
        <v>3180</v>
      </c>
    </row>
    <row r="183" spans="1:5" ht="27.6">
      <c r="A183" s="5" t="s">
        <v>20</v>
      </c>
      <c r="B183" s="5" t="s">
        <v>3178</v>
      </c>
      <c r="C183" s="5" t="s">
        <v>453</v>
      </c>
      <c r="D183" s="5" t="s">
        <v>104</v>
      </c>
      <c r="E183" s="5" t="s">
        <v>3180</v>
      </c>
    </row>
    <row r="184" spans="1:5" ht="27.6">
      <c r="A184" s="5" t="s">
        <v>20</v>
      </c>
      <c r="B184" s="5" t="s">
        <v>3178</v>
      </c>
      <c r="C184" s="5" t="s">
        <v>466</v>
      </c>
      <c r="D184" s="5" t="s">
        <v>467</v>
      </c>
      <c r="E184" s="5" t="s">
        <v>3180</v>
      </c>
    </row>
    <row r="185" spans="1:5" ht="27.6">
      <c r="A185" s="5" t="s">
        <v>20</v>
      </c>
      <c r="B185" s="5" t="s">
        <v>3178</v>
      </c>
      <c r="C185" s="5" t="s">
        <v>480</v>
      </c>
      <c r="D185" s="5" t="s">
        <v>185</v>
      </c>
      <c r="E185" s="5" t="s">
        <v>3180</v>
      </c>
    </row>
    <row r="186" spans="1:5" ht="27.6">
      <c r="A186" s="5" t="s">
        <v>20</v>
      </c>
      <c r="B186" s="5" t="s">
        <v>3178</v>
      </c>
      <c r="C186" s="5" t="s">
        <v>493</v>
      </c>
      <c r="D186" s="5" t="s">
        <v>494</v>
      </c>
      <c r="E186" s="5" t="s">
        <v>3180</v>
      </c>
    </row>
    <row r="187" spans="1:5" ht="27.6">
      <c r="A187" s="5" t="s">
        <v>20</v>
      </c>
      <c r="B187" s="5" t="s">
        <v>3178</v>
      </c>
      <c r="C187" s="5" t="s">
        <v>535</v>
      </c>
      <c r="D187" s="5" t="s">
        <v>536</v>
      </c>
      <c r="E187" s="5" t="s">
        <v>3180</v>
      </c>
    </row>
    <row r="188" spans="1:5" ht="27.6">
      <c r="A188" s="5" t="s">
        <v>20</v>
      </c>
      <c r="B188" s="5" t="s">
        <v>3178</v>
      </c>
      <c r="C188" s="5" t="s">
        <v>562</v>
      </c>
      <c r="D188" s="5" t="s">
        <v>563</v>
      </c>
      <c r="E188" s="5" t="s">
        <v>3180</v>
      </c>
    </row>
    <row r="189" spans="1:5" ht="27.6">
      <c r="A189" s="5" t="s">
        <v>20</v>
      </c>
      <c r="B189" s="5" t="s">
        <v>3178</v>
      </c>
      <c r="C189" s="5" t="s">
        <v>576</v>
      </c>
      <c r="D189" s="5" t="s">
        <v>577</v>
      </c>
      <c r="E189" s="5" t="s">
        <v>3180</v>
      </c>
    </row>
    <row r="190" spans="1:5" ht="27.6">
      <c r="A190" s="5" t="s">
        <v>20</v>
      </c>
      <c r="B190" s="5" t="s">
        <v>3178</v>
      </c>
      <c r="C190" s="5" t="s">
        <v>603</v>
      </c>
      <c r="D190" s="5" t="s">
        <v>604</v>
      </c>
      <c r="E190" s="5" t="s">
        <v>3180</v>
      </c>
    </row>
    <row r="191" spans="1:5" ht="27.6">
      <c r="A191" s="5" t="s">
        <v>20</v>
      </c>
      <c r="B191" s="5" t="s">
        <v>3178</v>
      </c>
      <c r="C191" s="5" t="s">
        <v>617</v>
      </c>
      <c r="D191" s="5" t="s">
        <v>618</v>
      </c>
      <c r="E191" s="5" t="s">
        <v>3180</v>
      </c>
    </row>
    <row r="192" spans="1:5" ht="27.6">
      <c r="A192" s="5" t="s">
        <v>20</v>
      </c>
      <c r="B192" s="5" t="s">
        <v>3178</v>
      </c>
      <c r="C192" s="5" t="s">
        <v>630</v>
      </c>
      <c r="D192" s="5" t="s">
        <v>631</v>
      </c>
      <c r="E192" s="5" t="s">
        <v>3180</v>
      </c>
    </row>
    <row r="193" spans="1:5" ht="27.6">
      <c r="A193" s="5" t="s">
        <v>20</v>
      </c>
      <c r="B193" s="5" t="s">
        <v>3178</v>
      </c>
      <c r="C193" s="5" t="s">
        <v>644</v>
      </c>
      <c r="D193" s="5" t="s">
        <v>645</v>
      </c>
      <c r="E193" s="5" t="s">
        <v>3180</v>
      </c>
    </row>
    <row r="194" spans="1:5" ht="27.6">
      <c r="A194" s="5" t="s">
        <v>20</v>
      </c>
      <c r="B194" s="5" t="s">
        <v>3178</v>
      </c>
      <c r="C194" s="5" t="s">
        <v>658</v>
      </c>
      <c r="D194" s="5" t="s">
        <v>659</v>
      </c>
      <c r="E194" s="5" t="s">
        <v>3180</v>
      </c>
    </row>
    <row r="195" spans="1:5" ht="27.6">
      <c r="A195" s="5" t="s">
        <v>20</v>
      </c>
      <c r="B195" s="5" t="s">
        <v>3178</v>
      </c>
      <c r="C195" s="5" t="s">
        <v>672</v>
      </c>
      <c r="D195" s="5" t="s">
        <v>673</v>
      </c>
      <c r="E195" s="5" t="s">
        <v>3180</v>
      </c>
    </row>
    <row r="196" spans="1:5">
      <c r="A196" s="5" t="s">
        <v>23</v>
      </c>
      <c r="B196" s="5" t="s">
        <v>3178</v>
      </c>
      <c r="C196" s="5" t="s">
        <v>1029</v>
      </c>
      <c r="D196" s="5" t="s">
        <v>1030</v>
      </c>
      <c r="E196" s="5" t="s">
        <v>3179</v>
      </c>
    </row>
    <row r="197" spans="1:5">
      <c r="A197" s="5" t="s">
        <v>23</v>
      </c>
      <c r="B197" s="5" t="s">
        <v>3178</v>
      </c>
      <c r="C197" s="5" t="s">
        <v>1044</v>
      </c>
      <c r="D197" s="5" t="s">
        <v>1045</v>
      </c>
      <c r="E197" s="5" t="s">
        <v>3179</v>
      </c>
    </row>
    <row r="198" spans="1:5">
      <c r="A198" s="5" t="s">
        <v>23</v>
      </c>
      <c r="B198" s="5" t="s">
        <v>3178</v>
      </c>
      <c r="C198" s="5" t="s">
        <v>1058</v>
      </c>
      <c r="D198" s="5" t="s">
        <v>1059</v>
      </c>
      <c r="E198" s="5" t="s">
        <v>3179</v>
      </c>
    </row>
    <row r="199" spans="1:5">
      <c r="A199" s="5" t="s">
        <v>23</v>
      </c>
      <c r="B199" s="5" t="s">
        <v>3178</v>
      </c>
      <c r="C199" s="5" t="s">
        <v>1072</v>
      </c>
      <c r="D199" s="5" t="s">
        <v>1073</v>
      </c>
      <c r="E199" s="5" t="s">
        <v>3179</v>
      </c>
    </row>
    <row r="200" spans="1:5">
      <c r="A200" s="5" t="s">
        <v>23</v>
      </c>
      <c r="B200" s="5" t="s">
        <v>3178</v>
      </c>
      <c r="C200" s="5" t="s">
        <v>1086</v>
      </c>
      <c r="D200" s="5" t="s">
        <v>1087</v>
      </c>
      <c r="E200" s="5" t="s">
        <v>3179</v>
      </c>
    </row>
    <row r="201" spans="1:5">
      <c r="A201" s="5" t="s">
        <v>23</v>
      </c>
      <c r="B201" s="5" t="s">
        <v>3178</v>
      </c>
      <c r="C201" s="5" t="s">
        <v>1099</v>
      </c>
      <c r="D201" s="5" t="s">
        <v>1100</v>
      </c>
      <c r="E201" s="5" t="s">
        <v>3179</v>
      </c>
    </row>
    <row r="202" spans="1:5" ht="27.6">
      <c r="A202" s="5" t="s">
        <v>23</v>
      </c>
      <c r="B202" s="5" t="s">
        <v>3178</v>
      </c>
      <c r="C202" s="5" t="s">
        <v>1304</v>
      </c>
      <c r="D202" s="5" t="s">
        <v>1305</v>
      </c>
      <c r="E202" s="5" t="s">
        <v>3180</v>
      </c>
    </row>
    <row r="203" spans="1:5" ht="27.6">
      <c r="A203" s="5" t="s">
        <v>23</v>
      </c>
      <c r="B203" s="5" t="s">
        <v>3178</v>
      </c>
      <c r="C203" s="5" t="s">
        <v>1319</v>
      </c>
      <c r="D203" s="5" t="s">
        <v>1320</v>
      </c>
      <c r="E203" s="5" t="s">
        <v>3180</v>
      </c>
    </row>
    <row r="204" spans="1:5" ht="27.6">
      <c r="A204" s="5" t="s">
        <v>23</v>
      </c>
      <c r="B204" s="5" t="s">
        <v>3178</v>
      </c>
      <c r="C204" s="5" t="s">
        <v>1333</v>
      </c>
      <c r="D204" s="5" t="s">
        <v>1334</v>
      </c>
      <c r="E204" s="5" t="s">
        <v>3180</v>
      </c>
    </row>
    <row r="205" spans="1:5" ht="27.6">
      <c r="A205" s="5" t="s">
        <v>23</v>
      </c>
      <c r="B205" s="5" t="s">
        <v>3178</v>
      </c>
      <c r="C205" s="5" t="s">
        <v>1347</v>
      </c>
      <c r="D205" s="5" t="s">
        <v>1348</v>
      </c>
      <c r="E205" s="5" t="s">
        <v>3180</v>
      </c>
    </row>
    <row r="206" spans="1:5" ht="27.6">
      <c r="A206" s="5" t="s">
        <v>23</v>
      </c>
      <c r="B206" s="5" t="s">
        <v>3178</v>
      </c>
      <c r="C206" s="5" t="s">
        <v>1361</v>
      </c>
      <c r="D206" s="5" t="s">
        <v>1362</v>
      </c>
      <c r="E206" s="5" t="s">
        <v>3180</v>
      </c>
    </row>
    <row r="207" spans="1:5" ht="27.6">
      <c r="A207" s="5" t="s">
        <v>23</v>
      </c>
      <c r="B207" s="5" t="s">
        <v>3178</v>
      </c>
      <c r="C207" s="5" t="s">
        <v>383</v>
      </c>
      <c r="D207" s="5" t="s">
        <v>384</v>
      </c>
      <c r="E207" s="5" t="s">
        <v>3180</v>
      </c>
    </row>
    <row r="208" spans="1:5" ht="27.6">
      <c r="A208" s="5" t="s">
        <v>23</v>
      </c>
      <c r="B208" s="5" t="s">
        <v>3178</v>
      </c>
      <c r="C208" s="5" t="s">
        <v>397</v>
      </c>
      <c r="D208" s="5" t="s">
        <v>398</v>
      </c>
      <c r="E208" s="5" t="s">
        <v>3180</v>
      </c>
    </row>
    <row r="209" spans="1:5" ht="27.6">
      <c r="A209" s="5" t="s">
        <v>23</v>
      </c>
      <c r="B209" s="5" t="s">
        <v>3178</v>
      </c>
      <c r="C209" s="5" t="s">
        <v>411</v>
      </c>
      <c r="D209" s="5" t="s">
        <v>412</v>
      </c>
      <c r="E209" s="5" t="s">
        <v>3180</v>
      </c>
    </row>
    <row r="210" spans="1:5" ht="27.6">
      <c r="A210" s="5" t="s">
        <v>23</v>
      </c>
      <c r="B210" s="5" t="s">
        <v>3178</v>
      </c>
      <c r="C210" s="5" t="s">
        <v>439</v>
      </c>
      <c r="D210" s="5" t="s">
        <v>440</v>
      </c>
      <c r="E210" s="5" t="s">
        <v>3180</v>
      </c>
    </row>
    <row r="211" spans="1:5" ht="27.6">
      <c r="A211" s="5" t="s">
        <v>23</v>
      </c>
      <c r="B211" s="5" t="s">
        <v>3178</v>
      </c>
      <c r="C211" s="5" t="s">
        <v>453</v>
      </c>
      <c r="D211" s="5" t="s">
        <v>104</v>
      </c>
      <c r="E211" s="5" t="s">
        <v>3180</v>
      </c>
    </row>
    <row r="212" spans="1:5" ht="27.6">
      <c r="A212" s="5" t="s">
        <v>23</v>
      </c>
      <c r="B212" s="5" t="s">
        <v>3178</v>
      </c>
      <c r="C212" s="5" t="s">
        <v>466</v>
      </c>
      <c r="D212" s="5" t="s">
        <v>467</v>
      </c>
      <c r="E212" s="5" t="s">
        <v>3180</v>
      </c>
    </row>
    <row r="213" spans="1:5" ht="27.6">
      <c r="A213" s="5" t="s">
        <v>23</v>
      </c>
      <c r="B213" s="5" t="s">
        <v>3178</v>
      </c>
      <c r="C213" s="5" t="s">
        <v>480</v>
      </c>
      <c r="D213" s="5" t="s">
        <v>185</v>
      </c>
      <c r="E213" s="5" t="s">
        <v>3180</v>
      </c>
    </row>
    <row r="214" spans="1:5" ht="27.6">
      <c r="A214" s="5" t="s">
        <v>23</v>
      </c>
      <c r="B214" s="5" t="s">
        <v>3178</v>
      </c>
      <c r="C214" s="5" t="s">
        <v>493</v>
      </c>
      <c r="D214" s="5" t="s">
        <v>494</v>
      </c>
      <c r="E214" s="5" t="s">
        <v>3180</v>
      </c>
    </row>
    <row r="215" spans="1:5" ht="27.6">
      <c r="A215" s="5" t="s">
        <v>23</v>
      </c>
      <c r="B215" s="5" t="s">
        <v>3178</v>
      </c>
      <c r="C215" s="5" t="s">
        <v>535</v>
      </c>
      <c r="D215" s="5" t="s">
        <v>536</v>
      </c>
      <c r="E215" s="5" t="s">
        <v>3180</v>
      </c>
    </row>
    <row r="216" spans="1:5" ht="27.6">
      <c r="A216" s="5" t="s">
        <v>23</v>
      </c>
      <c r="B216" s="5" t="s">
        <v>3178</v>
      </c>
      <c r="C216" s="5" t="s">
        <v>562</v>
      </c>
      <c r="D216" s="5" t="s">
        <v>563</v>
      </c>
      <c r="E216" s="5" t="s">
        <v>3180</v>
      </c>
    </row>
    <row r="217" spans="1:5" ht="27.6">
      <c r="A217" s="5" t="s">
        <v>23</v>
      </c>
      <c r="B217" s="5" t="s">
        <v>3178</v>
      </c>
      <c r="C217" s="5" t="s">
        <v>576</v>
      </c>
      <c r="D217" s="5" t="s">
        <v>577</v>
      </c>
      <c r="E217" s="5" t="s">
        <v>3180</v>
      </c>
    </row>
    <row r="218" spans="1:5" ht="27.6">
      <c r="A218" s="5" t="s">
        <v>23</v>
      </c>
      <c r="B218" s="5" t="s">
        <v>3178</v>
      </c>
      <c r="C218" s="5" t="s">
        <v>603</v>
      </c>
      <c r="D218" s="5" t="s">
        <v>604</v>
      </c>
      <c r="E218" s="5" t="s">
        <v>3180</v>
      </c>
    </row>
    <row r="219" spans="1:5" ht="27.6">
      <c r="A219" s="5" t="s">
        <v>23</v>
      </c>
      <c r="B219" s="5" t="s">
        <v>3178</v>
      </c>
      <c r="C219" s="5" t="s">
        <v>617</v>
      </c>
      <c r="D219" s="5" t="s">
        <v>618</v>
      </c>
      <c r="E219" s="5" t="s">
        <v>3180</v>
      </c>
    </row>
    <row r="220" spans="1:5" ht="27.6">
      <c r="A220" s="5" t="s">
        <v>23</v>
      </c>
      <c r="B220" s="5" t="s">
        <v>3178</v>
      </c>
      <c r="C220" s="5" t="s">
        <v>630</v>
      </c>
      <c r="D220" s="5" t="s">
        <v>631</v>
      </c>
      <c r="E220" s="5" t="s">
        <v>3180</v>
      </c>
    </row>
    <row r="221" spans="1:5" ht="27.6">
      <c r="A221" s="5" t="s">
        <v>23</v>
      </c>
      <c r="B221" s="5" t="s">
        <v>3178</v>
      </c>
      <c r="C221" s="5" t="s">
        <v>644</v>
      </c>
      <c r="D221" s="5" t="s">
        <v>645</v>
      </c>
      <c r="E221" s="5" t="s">
        <v>3180</v>
      </c>
    </row>
    <row r="222" spans="1:5" ht="27.6">
      <c r="A222" s="5" t="s">
        <v>23</v>
      </c>
      <c r="B222" s="5" t="s">
        <v>3178</v>
      </c>
      <c r="C222" s="5" t="s">
        <v>658</v>
      </c>
      <c r="D222" s="5" t="s">
        <v>659</v>
      </c>
      <c r="E222" s="5" t="s">
        <v>3180</v>
      </c>
    </row>
    <row r="223" spans="1:5" ht="27.6">
      <c r="A223" s="5" t="s">
        <v>23</v>
      </c>
      <c r="B223" s="5" t="s">
        <v>3178</v>
      </c>
      <c r="C223" s="5" t="s">
        <v>672</v>
      </c>
      <c r="D223" s="5" t="s">
        <v>673</v>
      </c>
      <c r="E223" s="5" t="s">
        <v>3180</v>
      </c>
    </row>
    <row r="224" spans="1:5">
      <c r="A224" s="5" t="s">
        <v>26</v>
      </c>
      <c r="B224" s="5" t="s">
        <v>3178</v>
      </c>
      <c r="C224" s="5" t="s">
        <v>826</v>
      </c>
      <c r="D224" s="5" t="s">
        <v>827</v>
      </c>
      <c r="E224" s="5" t="s">
        <v>3179</v>
      </c>
    </row>
    <row r="225" spans="1:5">
      <c r="A225" s="5" t="s">
        <v>26</v>
      </c>
      <c r="B225" s="5" t="s">
        <v>3178</v>
      </c>
      <c r="C225" s="5" t="s">
        <v>841</v>
      </c>
      <c r="D225" s="5" t="s">
        <v>842</v>
      </c>
      <c r="E225" s="5" t="s">
        <v>3179</v>
      </c>
    </row>
    <row r="226" spans="1:5">
      <c r="A226" s="5" t="s">
        <v>26</v>
      </c>
      <c r="B226" s="5" t="s">
        <v>3178</v>
      </c>
      <c r="C226" s="5" t="s">
        <v>855</v>
      </c>
      <c r="D226" s="5" t="s">
        <v>856</v>
      </c>
      <c r="E226" s="5" t="s">
        <v>3179</v>
      </c>
    </row>
    <row r="227" spans="1:5">
      <c r="A227" s="5" t="s">
        <v>26</v>
      </c>
      <c r="B227" s="5" t="s">
        <v>3178</v>
      </c>
      <c r="C227" s="5" t="s">
        <v>868</v>
      </c>
      <c r="D227" s="5" t="s">
        <v>869</v>
      </c>
      <c r="E227" s="5" t="s">
        <v>3179</v>
      </c>
    </row>
    <row r="228" spans="1:5">
      <c r="A228" s="5" t="s">
        <v>26</v>
      </c>
      <c r="B228" s="5" t="s">
        <v>3178</v>
      </c>
      <c r="C228" s="5" t="s">
        <v>882</v>
      </c>
      <c r="D228" s="5" t="s">
        <v>883</v>
      </c>
      <c r="E228" s="5" t="s">
        <v>3179</v>
      </c>
    </row>
    <row r="229" spans="1:5">
      <c r="A229" s="5" t="s">
        <v>26</v>
      </c>
      <c r="B229" s="5" t="s">
        <v>3178</v>
      </c>
      <c r="C229" s="5" t="s">
        <v>895</v>
      </c>
      <c r="D229" s="5" t="s">
        <v>896</v>
      </c>
      <c r="E229" s="5" t="s">
        <v>3179</v>
      </c>
    </row>
    <row r="230" spans="1:5">
      <c r="A230" s="5" t="s">
        <v>26</v>
      </c>
      <c r="B230" s="5" t="s">
        <v>3178</v>
      </c>
      <c r="C230" s="5" t="s">
        <v>908</v>
      </c>
      <c r="D230" s="5" t="s">
        <v>909</v>
      </c>
      <c r="E230" s="5" t="s">
        <v>3179</v>
      </c>
    </row>
    <row r="231" spans="1:5" ht="27.6">
      <c r="A231" s="5" t="s">
        <v>26</v>
      </c>
      <c r="B231" s="5" t="s">
        <v>3178</v>
      </c>
      <c r="C231" s="5" t="s">
        <v>369</v>
      </c>
      <c r="D231" s="5" t="s">
        <v>370</v>
      </c>
      <c r="E231" s="5" t="s">
        <v>3180</v>
      </c>
    </row>
    <row r="232" spans="1:5" ht="27.6">
      <c r="A232" s="5" t="s">
        <v>26</v>
      </c>
      <c r="B232" s="5" t="s">
        <v>3178</v>
      </c>
      <c r="C232" s="5" t="s">
        <v>383</v>
      </c>
      <c r="D232" s="5" t="s">
        <v>384</v>
      </c>
      <c r="E232" s="5" t="s">
        <v>3180</v>
      </c>
    </row>
    <row r="233" spans="1:5" ht="27.6">
      <c r="A233" s="5" t="s">
        <v>26</v>
      </c>
      <c r="B233" s="5" t="s">
        <v>3178</v>
      </c>
      <c r="C233" s="5" t="s">
        <v>397</v>
      </c>
      <c r="D233" s="5" t="s">
        <v>398</v>
      </c>
      <c r="E233" s="5" t="s">
        <v>3180</v>
      </c>
    </row>
    <row r="234" spans="1:5" ht="27.6">
      <c r="A234" s="5" t="s">
        <v>26</v>
      </c>
      <c r="B234" s="5" t="s">
        <v>3178</v>
      </c>
      <c r="C234" s="5" t="s">
        <v>411</v>
      </c>
      <c r="D234" s="5" t="s">
        <v>412</v>
      </c>
      <c r="E234" s="5" t="s">
        <v>3180</v>
      </c>
    </row>
    <row r="235" spans="1:5" ht="27.6">
      <c r="A235" s="5" t="s">
        <v>26</v>
      </c>
      <c r="B235" s="5" t="s">
        <v>3178</v>
      </c>
      <c r="C235" s="5" t="s">
        <v>425</v>
      </c>
      <c r="D235" s="5" t="s">
        <v>426</v>
      </c>
      <c r="E235" s="5" t="s">
        <v>3180</v>
      </c>
    </row>
    <row r="236" spans="1:5" ht="27.6">
      <c r="A236" s="5" t="s">
        <v>26</v>
      </c>
      <c r="B236" s="5" t="s">
        <v>3178</v>
      </c>
      <c r="C236" s="5" t="s">
        <v>439</v>
      </c>
      <c r="D236" s="5" t="s">
        <v>440</v>
      </c>
      <c r="E236" s="5" t="s">
        <v>3180</v>
      </c>
    </row>
    <row r="237" spans="1:5" ht="27.6">
      <c r="A237" s="5" t="s">
        <v>26</v>
      </c>
      <c r="B237" s="5" t="s">
        <v>3178</v>
      </c>
      <c r="C237" s="5" t="s">
        <v>453</v>
      </c>
      <c r="D237" s="5" t="s">
        <v>104</v>
      </c>
      <c r="E237" s="5" t="s">
        <v>3180</v>
      </c>
    </row>
    <row r="238" spans="1:5" ht="27.6">
      <c r="A238" s="5" t="s">
        <v>26</v>
      </c>
      <c r="B238" s="5" t="s">
        <v>3178</v>
      </c>
      <c r="C238" s="5" t="s">
        <v>466</v>
      </c>
      <c r="D238" s="5" t="s">
        <v>467</v>
      </c>
      <c r="E238" s="5" t="s">
        <v>3180</v>
      </c>
    </row>
    <row r="239" spans="1:5" ht="27.6">
      <c r="A239" s="5" t="s">
        <v>26</v>
      </c>
      <c r="B239" s="5" t="s">
        <v>3178</v>
      </c>
      <c r="C239" s="5" t="s">
        <v>480</v>
      </c>
      <c r="D239" s="5" t="s">
        <v>185</v>
      </c>
      <c r="E239" s="5" t="s">
        <v>3180</v>
      </c>
    </row>
    <row r="240" spans="1:5" ht="27.6">
      <c r="A240" s="5" t="s">
        <v>26</v>
      </c>
      <c r="B240" s="5" t="s">
        <v>3178</v>
      </c>
      <c r="C240" s="5" t="s">
        <v>535</v>
      </c>
      <c r="D240" s="5" t="s">
        <v>536</v>
      </c>
      <c r="E240" s="5" t="s">
        <v>3180</v>
      </c>
    </row>
    <row r="241" spans="1:5" ht="27.6">
      <c r="A241" s="5" t="s">
        <v>26</v>
      </c>
      <c r="B241" s="5" t="s">
        <v>3178</v>
      </c>
      <c r="C241" s="5" t="s">
        <v>549</v>
      </c>
      <c r="D241" s="5" t="s">
        <v>269</v>
      </c>
      <c r="E241" s="5" t="s">
        <v>3180</v>
      </c>
    </row>
    <row r="242" spans="1:5" ht="27.6">
      <c r="A242" s="5" t="s">
        <v>26</v>
      </c>
      <c r="B242" s="5" t="s">
        <v>3178</v>
      </c>
      <c r="C242" s="5" t="s">
        <v>562</v>
      </c>
      <c r="D242" s="5" t="s">
        <v>563</v>
      </c>
      <c r="E242" s="5" t="s">
        <v>3180</v>
      </c>
    </row>
    <row r="243" spans="1:5" ht="27.6">
      <c r="A243" s="5" t="s">
        <v>26</v>
      </c>
      <c r="B243" s="5" t="s">
        <v>3178</v>
      </c>
      <c r="C243" s="5" t="s">
        <v>576</v>
      </c>
      <c r="D243" s="5" t="s">
        <v>577</v>
      </c>
      <c r="E243" s="5" t="s">
        <v>3180</v>
      </c>
    </row>
    <row r="244" spans="1:5" ht="27.6">
      <c r="A244" s="5" t="s">
        <v>26</v>
      </c>
      <c r="B244" s="5" t="s">
        <v>3178</v>
      </c>
      <c r="C244" s="5" t="s">
        <v>589</v>
      </c>
      <c r="D244" s="5" t="s">
        <v>590</v>
      </c>
      <c r="E244" s="5" t="s">
        <v>3180</v>
      </c>
    </row>
    <row r="245" spans="1:5" ht="27.6">
      <c r="A245" s="5" t="s">
        <v>26</v>
      </c>
      <c r="B245" s="5" t="s">
        <v>3178</v>
      </c>
      <c r="C245" s="5" t="s">
        <v>603</v>
      </c>
      <c r="D245" s="5" t="s">
        <v>604</v>
      </c>
      <c r="E245" s="5" t="s">
        <v>3180</v>
      </c>
    </row>
    <row r="246" spans="1:5" ht="27.6">
      <c r="A246" s="5" t="s">
        <v>26</v>
      </c>
      <c r="B246" s="5" t="s">
        <v>3178</v>
      </c>
      <c r="C246" s="5" t="s">
        <v>617</v>
      </c>
      <c r="D246" s="5" t="s">
        <v>618</v>
      </c>
      <c r="E246" s="5" t="s">
        <v>3180</v>
      </c>
    </row>
    <row r="247" spans="1:5" ht="27.6">
      <c r="A247" s="5" t="s">
        <v>26</v>
      </c>
      <c r="B247" s="5" t="s">
        <v>3178</v>
      </c>
      <c r="C247" s="5" t="s">
        <v>644</v>
      </c>
      <c r="D247" s="5" t="s">
        <v>645</v>
      </c>
      <c r="E247" s="5" t="s">
        <v>3180</v>
      </c>
    </row>
    <row r="248" spans="1:5" ht="27.6">
      <c r="A248" s="5" t="s">
        <v>26</v>
      </c>
      <c r="B248" s="5" t="s">
        <v>3178</v>
      </c>
      <c r="C248" s="5" t="s">
        <v>658</v>
      </c>
      <c r="D248" s="5" t="s">
        <v>659</v>
      </c>
      <c r="E248" s="5" t="s">
        <v>3180</v>
      </c>
    </row>
    <row r="249" spans="1:5" ht="27.6">
      <c r="A249" s="5" t="s">
        <v>26</v>
      </c>
      <c r="B249" s="5" t="s">
        <v>3178</v>
      </c>
      <c r="C249" s="5" t="s">
        <v>672</v>
      </c>
      <c r="D249" s="5" t="s">
        <v>673</v>
      </c>
      <c r="E249" s="5" t="s">
        <v>3180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00_Synthèse</vt:lpstr>
      <vt:lpstr>01_Publics</vt:lpstr>
      <vt:lpstr>02_Parcours_E2E</vt:lpstr>
      <vt:lpstr>03_Categories</vt:lpstr>
      <vt:lpstr>04_Donnees_Objets</vt:lpstr>
      <vt:lpstr>05_Ecrans</vt:lpstr>
      <vt:lpstr>06_Champs_Inputs</vt:lpstr>
      <vt:lpstr>07_Actions_Sorties</vt:lpstr>
      <vt:lpstr>08_Tableaux_Bord</vt:lpstr>
      <vt:lpstr>09_Calculateurs</vt:lpstr>
      <vt:lpstr>10_Formules</vt:lpstr>
      <vt:lpstr>11_Algorithmes</vt:lpstr>
      <vt:lpstr>12_Recherche</vt:lpstr>
      <vt:lpstr>13_Chatbot</vt:lpstr>
      <vt:lpstr>14_Etats_Alertes</vt:lpstr>
      <vt:lpstr>15_API</vt:lpstr>
      <vt:lpstr>16_QA_Tests</vt:lpstr>
      <vt:lpstr>17_Backlog</vt:lpstr>
      <vt:lpstr>18_Provenance</vt:lpstr>
      <vt:lpstr>19_Cartes_Parcours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2026-10-07T18:41:39Z</dcterms:modified>
</cp:coreProperties>
</file>